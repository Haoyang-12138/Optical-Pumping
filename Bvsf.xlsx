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hh612_OP\20251020\"/>
    </mc:Choice>
  </mc:AlternateContent>
  <xr:revisionPtr revIDLastSave="0" documentId="13_ncr:1_{0E1DB629-966E-4399-89B2-F383103B78A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I3" i="1" l="1"/>
  <c r="P16" i="1"/>
  <c r="R16" i="1" s="1"/>
  <c r="S16" i="1" s="1"/>
  <c r="B32" i="1"/>
  <c r="B34" i="1"/>
  <c r="R17" i="1"/>
  <c r="L3" i="1"/>
  <c r="K4" i="1"/>
  <c r="L4" i="1" s="1"/>
  <c r="K5" i="1"/>
  <c r="K6" i="1"/>
  <c r="K7" i="1"/>
  <c r="K8" i="1"/>
  <c r="K9" i="1"/>
  <c r="K10" i="1"/>
  <c r="K11" i="1"/>
  <c r="J4" i="1"/>
  <c r="M4" i="1" s="1"/>
  <c r="J5" i="1"/>
  <c r="J6" i="1"/>
  <c r="J7" i="1"/>
  <c r="J8" i="1"/>
  <c r="J9" i="1"/>
  <c r="J10" i="1"/>
  <c r="J11" i="1"/>
  <c r="I4" i="1"/>
  <c r="I5" i="1"/>
  <c r="I6" i="1"/>
  <c r="I7" i="1"/>
  <c r="I8" i="1"/>
  <c r="I9" i="1"/>
  <c r="I10" i="1"/>
  <c r="I11" i="1"/>
  <c r="K3" i="1"/>
  <c r="J3" i="1"/>
  <c r="M3" i="1" s="1"/>
  <c r="L11" i="1" l="1"/>
  <c r="O10" i="1"/>
  <c r="O9" i="1"/>
  <c r="O8" i="1"/>
  <c r="O7" i="1"/>
  <c r="O6" i="1"/>
  <c r="O5" i="1"/>
  <c r="O4" i="1"/>
  <c r="L9" i="1"/>
  <c r="L6" i="1"/>
  <c r="L7" i="1"/>
  <c r="L5" i="1"/>
  <c r="N6" i="1"/>
  <c r="N4" i="1"/>
  <c r="O3" i="1"/>
  <c r="M10" i="1"/>
  <c r="N3" i="1"/>
  <c r="N9" i="1"/>
  <c r="N8" i="1"/>
  <c r="N7" i="1"/>
  <c r="L10" i="1"/>
  <c r="L8" i="1"/>
  <c r="N11" i="1"/>
  <c r="M11" i="1"/>
  <c r="O11" i="1"/>
  <c r="N5" i="1"/>
  <c r="N10" i="1"/>
  <c r="M9" i="1"/>
  <c r="M8" i="1"/>
  <c r="M7" i="1"/>
  <c r="M6" i="1"/>
  <c r="M5" i="1"/>
  <c r="P17" i="1" l="1"/>
  <c r="Q17" i="1"/>
  <c r="Q16" i="1"/>
</calcChain>
</file>

<file path=xl/sharedStrings.xml><?xml version="1.0" encoding="utf-8"?>
<sst xmlns="http://schemas.openxmlformats.org/spreadsheetml/2006/main" count="26" uniqueCount="26">
  <si>
    <t>peak 1</t>
    <phoneticPr fontId="1" type="noConversion"/>
  </si>
  <si>
    <t>zero peak</t>
    <phoneticPr fontId="1" type="noConversion"/>
  </si>
  <si>
    <t>Voltage/Current from 1Ohm Monitor (V)</t>
    <phoneticPr fontId="1" type="noConversion"/>
  </si>
  <si>
    <t>error 0</t>
    <phoneticPr fontId="1" type="noConversion"/>
  </si>
  <si>
    <t>error 1</t>
    <phoneticPr fontId="1" type="noConversion"/>
  </si>
  <si>
    <t>peak2</t>
    <phoneticPr fontId="1" type="noConversion"/>
  </si>
  <si>
    <t>error2</t>
    <phoneticPr fontId="1" type="noConversion"/>
  </si>
  <si>
    <t>g_f</t>
    <phoneticPr fontId="1" type="noConversion"/>
  </si>
  <si>
    <t>f/kHz</t>
    <phoneticPr fontId="1" type="noConversion"/>
  </si>
  <si>
    <t>g_f1</t>
    <phoneticPr fontId="1" type="noConversion"/>
  </si>
  <si>
    <t>g_f2</t>
    <phoneticPr fontId="1" type="noConversion"/>
  </si>
  <si>
    <t>B_1/T</t>
    <phoneticPr fontId="1" type="noConversion"/>
  </si>
  <si>
    <t>B_2/T</t>
    <phoneticPr fontId="1" type="noConversion"/>
  </si>
  <si>
    <t>B_0/T</t>
    <phoneticPr fontId="1" type="noConversion"/>
  </si>
  <si>
    <t>B_1real/T</t>
    <phoneticPr fontId="1" type="noConversion"/>
  </si>
  <si>
    <t>B_2real/T</t>
    <phoneticPr fontId="1" type="noConversion"/>
  </si>
  <si>
    <t>B_1vsf</t>
    <phoneticPr fontId="1" type="noConversion"/>
  </si>
  <si>
    <t>slope</t>
    <phoneticPr fontId="1" type="noConversion"/>
  </si>
  <si>
    <t>intercept</t>
    <phoneticPr fontId="1" type="noConversion"/>
  </si>
  <si>
    <t>B_2vsf</t>
    <phoneticPr fontId="1" type="noConversion"/>
  </si>
  <si>
    <t>Measuring Earth Magnetic Field</t>
    <phoneticPr fontId="1" type="noConversion"/>
  </si>
  <si>
    <t>I_vertical/A</t>
    <phoneticPr fontId="1" type="noConversion"/>
  </si>
  <si>
    <t>B_vertical/G</t>
    <phoneticPr fontId="1" type="noConversion"/>
  </si>
  <si>
    <t>B_horizontal/G</t>
    <phoneticPr fontId="1" type="noConversion"/>
  </si>
  <si>
    <t>ratio</t>
    <phoneticPr fontId="1" type="noConversion"/>
  </si>
  <si>
    <t>B_parallel to ground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</si>
</sst>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Resonance B field vs Transition</a:t>
            </a:r>
            <a:r>
              <a:rPr lang="en-US" altLang="zh-CN" baseline="0"/>
              <a:t> frequency</a:t>
            </a:r>
            <a:endParaRPr lang="en-GB" altLang="zh-CN"/>
          </a:p>
        </c:rich>
      </c:tx>
      <c:layout>
        <c:manualLayout>
          <c:xMode val="edge"/>
          <c:yMode val="edge"/>
          <c:x val="0.230631206016042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058162927374192"/>
          <c:y val="0.10226851851851854"/>
          <c:w val="0.83206746049399194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Rb 87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30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Sheet1!$A$3:$A$11</c:f>
              <c:numCache>
                <c:formatCode>General</c:formatCode>
                <c:ptCount val="9"/>
                <c:pt idx="0">
                  <c:v>53.6</c:v>
                </c:pt>
                <c:pt idx="1">
                  <c:v>40.1</c:v>
                </c:pt>
                <c:pt idx="2">
                  <c:v>30</c:v>
                </c:pt>
                <c:pt idx="3">
                  <c:v>75.2</c:v>
                </c:pt>
                <c:pt idx="4">
                  <c:v>90</c:v>
                </c:pt>
                <c:pt idx="5">
                  <c:v>105</c:v>
                </c:pt>
                <c:pt idx="6">
                  <c:v>120</c:v>
                </c:pt>
                <c:pt idx="7">
                  <c:v>135</c:v>
                </c:pt>
                <c:pt idx="8">
                  <c:v>150</c:v>
                </c:pt>
              </c:numCache>
            </c:numRef>
          </c:xVal>
          <c:yVal>
            <c:numRef>
              <c:f>Sheet1!$N$3:$N$11</c:f>
              <c:numCache>
                <c:formatCode>General</c:formatCode>
                <c:ptCount val="9"/>
                <c:pt idx="0">
                  <c:v>6.6376510067114064E-6</c:v>
                </c:pt>
                <c:pt idx="1">
                  <c:v>4.8273825503355709E-6</c:v>
                </c:pt>
                <c:pt idx="2">
                  <c:v>4.2239597315436252E-6</c:v>
                </c:pt>
                <c:pt idx="3">
                  <c:v>1.0258187919463088E-5</c:v>
                </c:pt>
                <c:pt idx="4">
                  <c:v>1.1465033557046976E-5</c:v>
                </c:pt>
                <c:pt idx="5">
                  <c:v>1.3878724832214765E-5</c:v>
                </c:pt>
                <c:pt idx="6">
                  <c:v>1.6292416107382548E-5</c:v>
                </c:pt>
                <c:pt idx="7">
                  <c:v>1.8706107382550328E-5</c:v>
                </c:pt>
                <c:pt idx="8">
                  <c:v>2.0516375838926172E-5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72-4CAA-BAB3-FF2D71BD1328}"/>
            </c:ext>
          </c:extLst>
        </c:ser>
        <c:ser>
          <c:idx val="1"/>
          <c:order val="1"/>
          <c:tx>
            <c:v>Rb85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30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Sheet1!$A$3:$A$11</c:f>
              <c:numCache>
                <c:formatCode>General</c:formatCode>
                <c:ptCount val="9"/>
                <c:pt idx="0">
                  <c:v>53.6</c:v>
                </c:pt>
                <c:pt idx="1">
                  <c:v>40.1</c:v>
                </c:pt>
                <c:pt idx="2">
                  <c:v>30</c:v>
                </c:pt>
                <c:pt idx="3">
                  <c:v>75.2</c:v>
                </c:pt>
                <c:pt idx="4">
                  <c:v>90</c:v>
                </c:pt>
                <c:pt idx="5">
                  <c:v>105</c:v>
                </c:pt>
                <c:pt idx="6">
                  <c:v>120</c:v>
                </c:pt>
                <c:pt idx="7">
                  <c:v>135</c:v>
                </c:pt>
                <c:pt idx="8">
                  <c:v>150</c:v>
                </c:pt>
              </c:numCache>
            </c:numRef>
          </c:xVal>
          <c:yVal>
            <c:numRef>
              <c:f>Sheet1!$O$3:$O$11</c:f>
              <c:numCache>
                <c:formatCode>General</c:formatCode>
                <c:ptCount val="9"/>
                <c:pt idx="0">
                  <c:v>1.086161073825503E-5</c:v>
                </c:pt>
                <c:pt idx="1">
                  <c:v>7.8444966442953029E-6</c:v>
                </c:pt>
                <c:pt idx="2">
                  <c:v>6.6376510067114115E-6</c:v>
                </c:pt>
                <c:pt idx="3">
                  <c:v>1.5688993288590606E-5</c:v>
                </c:pt>
                <c:pt idx="4">
                  <c:v>1.8404395973154357E-5</c:v>
                </c:pt>
                <c:pt idx="5">
                  <c:v>2.1723221476510063E-5</c:v>
                </c:pt>
                <c:pt idx="6">
                  <c:v>2.4740335570469795E-5</c:v>
                </c:pt>
                <c:pt idx="7">
                  <c:v>2.8360872483221473E-5</c:v>
                </c:pt>
                <c:pt idx="8">
                  <c:v>3.1981409395973154E-5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72-4CAA-BAB3-FF2D71BD132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88625743"/>
        <c:axId val="144584303"/>
      </c:scatterChart>
      <c:valAx>
        <c:axId val="138862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Frequency/kHz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584303"/>
        <c:crosses val="autoZero"/>
        <c:crossBetween val="midCat"/>
      </c:valAx>
      <c:valAx>
        <c:axId val="14458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B/T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62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311829</xdr:colOff>
      <xdr:row>13</xdr:row>
      <xdr:rowOff>16667</xdr:rowOff>
    </xdr:from>
    <xdr:to>
      <xdr:col>11</xdr:col>
      <xdr:colOff>673893</xdr:colOff>
      <xdr:row>28</xdr:row>
      <xdr:rowOff>116680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3A0-C058-C875-CFF0-B83FCB790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zoomScale="88" workbookViewId="0">
      <selection activeCell="B36" sqref="B36"/>
    </sheetView>
  </sheetViews>
  <sheetFormatPr defaultRowHeight="13.9" x14ac:dyDescent="0.4"/>
  <cols>
    <col min="2" max="2" width="12.46484375" bestFit="1" customWidth="1"/>
    <col min="3" max="7" width="9.1328125" bestFit="1" customWidth="1"/>
    <col min="9" max="11" width="12.6640625" bestFit="1" customWidth="1"/>
    <col min="12" max="12" width="12.53125" bestFit="1" customWidth="1"/>
    <col min="13" max="13" width="9.1328125" bestFit="1" customWidth="1"/>
    <col min="14" max="15" width="12.6640625" bestFit="1" customWidth="1"/>
    <col min="16" max="16" width="12.53125" bestFit="1" customWidth="1"/>
    <col min="17" max="17" width="13.73046875" bestFit="1" customWidth="1"/>
    <col min="18" max="18" width="12.46484375" bestFit="1" customWidth="1"/>
    <col min="19" max="19" width="13.53125" bestFit="1" customWidth="1"/>
  </cols>
  <sheetData>
    <row r="1" spans="1:19" x14ac:dyDescent="0.4">
      <c r="B1" t="s">
        <v>2</v>
      </c>
    </row>
    <row r="2" spans="1:19" x14ac:dyDescent="0.4">
      <c r="A2" t="s">
        <v>8</v>
      </c>
      <c r="B2" t="s">
        <v>1</v>
      </c>
      <c r="C2" t="s">
        <v>3</v>
      </c>
      <c r="D2" t="s">
        <v>0</v>
      </c>
      <c r="E2" t="s">
        <v>4</v>
      </c>
      <c r="F2" t="s">
        <v>5</v>
      </c>
      <c r="G2" t="s">
        <v>6</v>
      </c>
      <c r="I2" t="s">
        <v>11</v>
      </c>
      <c r="J2" t="s">
        <v>12</v>
      </c>
      <c r="K2" t="s">
        <v>13</v>
      </c>
      <c r="L2" t="s">
        <v>9</v>
      </c>
      <c r="M2" t="s">
        <v>10</v>
      </c>
      <c r="N2" t="s">
        <v>14</v>
      </c>
      <c r="O2" t="s">
        <v>15</v>
      </c>
    </row>
    <row r="3" spans="1:19" x14ac:dyDescent="0.4">
      <c r="A3">
        <v>53.6</v>
      </c>
      <c r="B3">
        <v>0.27</v>
      </c>
      <c r="C3">
        <v>0.01</v>
      </c>
      <c r="D3">
        <v>0.38</v>
      </c>
      <c r="E3">
        <v>0.01</v>
      </c>
      <c r="F3">
        <v>0.45</v>
      </c>
      <c r="G3">
        <v>0.01</v>
      </c>
      <c r="I3">
        <f>8.991*0.001*11*0.0001/0.1639*D3</f>
        <v>2.2930067114093958E-5</v>
      </c>
      <c r="J3">
        <f>8.991*0.001*11*0.0001/0.1639*F3</f>
        <v>2.7154026845637581E-5</v>
      </c>
      <c r="K3">
        <f>8.991*0.001*11*0.0001/0.1639*B3</f>
        <v>1.6292416107382552E-5</v>
      </c>
      <c r="L3">
        <f>7.144773*10^(-11)*1000*A3/ABS(-K3+I3)</f>
        <v>0.57695084061030744</v>
      </c>
      <c r="M3">
        <f>7.144773*10^(-11)*1000*A3/ABS(-K3+J3)</f>
        <v>0.35258106926185451</v>
      </c>
      <c r="N3">
        <f>ABS(K3-I3)</f>
        <v>6.6376510067114064E-6</v>
      </c>
      <c r="O3">
        <f>ABS(K3-J3)</f>
        <v>1.086161073825503E-5</v>
      </c>
    </row>
    <row r="4" spans="1:19" x14ac:dyDescent="0.4">
      <c r="A4">
        <v>40.1</v>
      </c>
      <c r="B4">
        <v>0.28000000000000003</v>
      </c>
      <c r="C4">
        <v>0.02</v>
      </c>
      <c r="D4">
        <v>0.2</v>
      </c>
      <c r="E4">
        <v>0.01</v>
      </c>
      <c r="F4">
        <v>0.15</v>
      </c>
      <c r="G4">
        <v>0.01</v>
      </c>
      <c r="I4">
        <f t="shared" ref="I4:I12" si="0">8.991*0.001*11*0.0001/0.1639*D4</f>
        <v>1.2068456375838926E-5</v>
      </c>
      <c r="J4">
        <f t="shared" ref="J4:J12" si="1">8.991*0.001*11*0.0001/0.1639*F4</f>
        <v>9.0513422818791944E-6</v>
      </c>
      <c r="K4">
        <f t="shared" ref="K4:K11" si="2">8.991*0.001*11*0.0001/0.1639*B4</f>
        <v>1.6895838926174497E-5</v>
      </c>
      <c r="L4">
        <f t="shared" ref="L4:L11" si="3">7.144773*10^(-11)*1000*A4/ABS(-K4+I4)</f>
        <v>0.59350050324908232</v>
      </c>
      <c r="M4">
        <f t="shared" ref="M4:M11" si="4">7.144773*10^(-11)*1000*A4/ABS(-K4+J4)</f>
        <v>0.36523107892251216</v>
      </c>
      <c r="N4">
        <f t="shared" ref="N4:N11" si="5">ABS(K4-I4)</f>
        <v>4.8273825503355709E-6</v>
      </c>
      <c r="O4">
        <f t="shared" ref="O4:O11" si="6">ABS(K4-J4)</f>
        <v>7.8444966442953029E-6</v>
      </c>
    </row>
    <row r="5" spans="1:19" x14ac:dyDescent="0.4">
      <c r="A5">
        <v>30</v>
      </c>
      <c r="B5">
        <v>0.27</v>
      </c>
      <c r="C5">
        <v>0.02</v>
      </c>
      <c r="D5">
        <v>0.2</v>
      </c>
      <c r="E5">
        <v>0.01</v>
      </c>
      <c r="F5">
        <v>0.16</v>
      </c>
      <c r="G5">
        <v>0.01</v>
      </c>
      <c r="I5">
        <f t="shared" si="0"/>
        <v>1.2068456375838926E-5</v>
      </c>
      <c r="J5">
        <f t="shared" si="1"/>
        <v>9.6547651006711401E-6</v>
      </c>
      <c r="K5">
        <f t="shared" si="2"/>
        <v>1.6292416107382552E-5</v>
      </c>
      <c r="L5">
        <f t="shared" si="3"/>
        <v>0.50744610181610161</v>
      </c>
      <c r="M5">
        <f t="shared" si="4"/>
        <v>0.32292024661024649</v>
      </c>
      <c r="N5">
        <f t="shared" si="5"/>
        <v>4.2239597315436252E-6</v>
      </c>
      <c r="O5">
        <f t="shared" si="6"/>
        <v>6.6376510067114115E-6</v>
      </c>
    </row>
    <row r="6" spans="1:19" x14ac:dyDescent="0.4">
      <c r="A6">
        <v>75.2</v>
      </c>
      <c r="B6">
        <v>0.28000000000000003</v>
      </c>
      <c r="C6">
        <v>0.02</v>
      </c>
      <c r="D6">
        <v>0.11</v>
      </c>
      <c r="E6">
        <v>0.01</v>
      </c>
      <c r="F6">
        <v>0.02</v>
      </c>
      <c r="G6">
        <v>0.01</v>
      </c>
      <c r="I6">
        <f t="shared" si="0"/>
        <v>6.6376510067114089E-6</v>
      </c>
      <c r="J6">
        <f t="shared" si="1"/>
        <v>1.2068456375838925E-6</v>
      </c>
      <c r="K6">
        <f t="shared" si="2"/>
        <v>1.6895838926174497E-5</v>
      </c>
      <c r="L6">
        <f t="shared" si="3"/>
        <v>0.5237639764627372</v>
      </c>
      <c r="M6">
        <f t="shared" si="4"/>
        <v>0.34246106153332811</v>
      </c>
      <c r="N6">
        <f t="shared" si="5"/>
        <v>1.0258187919463088E-5</v>
      </c>
      <c r="O6">
        <f t="shared" si="6"/>
        <v>1.5688993288590606E-5</v>
      </c>
    </row>
    <row r="7" spans="1:19" x14ac:dyDescent="0.4">
      <c r="A7">
        <v>90</v>
      </c>
      <c r="B7">
        <v>0.28000000000000003</v>
      </c>
      <c r="C7">
        <v>0.01</v>
      </c>
      <c r="D7">
        <v>0.47</v>
      </c>
      <c r="E7">
        <v>0.01</v>
      </c>
      <c r="F7">
        <v>0.58499999999999996</v>
      </c>
      <c r="G7">
        <v>0.01</v>
      </c>
      <c r="I7">
        <f t="shared" si="0"/>
        <v>2.8360872483221473E-5</v>
      </c>
      <c r="J7">
        <f t="shared" si="1"/>
        <v>3.5300234899328854E-5</v>
      </c>
      <c r="K7">
        <f t="shared" si="2"/>
        <v>1.6895838926174497E-5</v>
      </c>
      <c r="L7">
        <f t="shared" si="3"/>
        <v>0.56086148095463895</v>
      </c>
      <c r="M7">
        <f t="shared" si="4"/>
        <v>0.3493891192832177</v>
      </c>
      <c r="N7">
        <f t="shared" si="5"/>
        <v>1.1465033557046976E-5</v>
      </c>
      <c r="O7">
        <f t="shared" si="6"/>
        <v>1.8404395973154357E-5</v>
      </c>
    </row>
    <row r="8" spans="1:19" x14ac:dyDescent="0.4">
      <c r="A8">
        <v>105</v>
      </c>
      <c r="B8">
        <v>0.28000000000000003</v>
      </c>
      <c r="C8">
        <v>0.01</v>
      </c>
      <c r="D8">
        <v>0.51</v>
      </c>
      <c r="E8">
        <v>0.01</v>
      </c>
      <c r="F8">
        <v>0.64</v>
      </c>
      <c r="G8">
        <v>0.01</v>
      </c>
      <c r="I8">
        <f t="shared" si="0"/>
        <v>3.0774563758389263E-5</v>
      </c>
      <c r="J8">
        <f t="shared" si="1"/>
        <v>3.861906040268456E-5</v>
      </c>
      <c r="K8">
        <f t="shared" si="2"/>
        <v>1.6895838926174497E-5</v>
      </c>
      <c r="L8">
        <f t="shared" si="3"/>
        <v>0.54054041280410836</v>
      </c>
      <c r="M8">
        <f t="shared" si="4"/>
        <v>0.3453452637359582</v>
      </c>
      <c r="N8">
        <f t="shared" si="5"/>
        <v>1.3878724832214765E-5</v>
      </c>
      <c r="O8">
        <f t="shared" si="6"/>
        <v>2.1723221476510063E-5</v>
      </c>
    </row>
    <row r="9" spans="1:19" x14ac:dyDescent="0.4">
      <c r="A9">
        <v>120</v>
      </c>
      <c r="B9">
        <v>0.28000000000000003</v>
      </c>
      <c r="C9">
        <v>0.01</v>
      </c>
      <c r="D9">
        <v>0.55000000000000004</v>
      </c>
      <c r="E9">
        <v>0.01</v>
      </c>
      <c r="F9">
        <v>0.69</v>
      </c>
      <c r="G9">
        <v>0.01</v>
      </c>
      <c r="I9">
        <f t="shared" si="0"/>
        <v>3.3188255033557045E-5</v>
      </c>
      <c r="J9">
        <f t="shared" si="1"/>
        <v>4.1636174496644292E-5</v>
      </c>
      <c r="K9">
        <f t="shared" si="2"/>
        <v>1.6895838926174497E-5</v>
      </c>
      <c r="L9">
        <f t="shared" si="3"/>
        <v>0.52624040188336485</v>
      </c>
      <c r="M9">
        <f t="shared" si="4"/>
        <v>0.34654855733782564</v>
      </c>
      <c r="N9">
        <f t="shared" si="5"/>
        <v>1.6292416107382548E-5</v>
      </c>
      <c r="O9">
        <f t="shared" si="6"/>
        <v>2.4740335570469795E-5</v>
      </c>
    </row>
    <row r="10" spans="1:19" x14ac:dyDescent="0.4">
      <c r="A10">
        <v>135</v>
      </c>
      <c r="B10">
        <v>0.27</v>
      </c>
      <c r="C10">
        <v>0.01</v>
      </c>
      <c r="D10">
        <v>0.57999999999999996</v>
      </c>
      <c r="E10">
        <v>0.01</v>
      </c>
      <c r="F10">
        <v>0.74</v>
      </c>
      <c r="G10">
        <v>0.01</v>
      </c>
      <c r="I10">
        <f t="shared" si="0"/>
        <v>3.4998523489932879E-5</v>
      </c>
      <c r="J10">
        <f t="shared" si="1"/>
        <v>4.4653288590604024E-5</v>
      </c>
      <c r="K10">
        <f t="shared" si="2"/>
        <v>1.6292416107382552E-5</v>
      </c>
      <c r="L10">
        <f t="shared" si="3"/>
        <v>0.51563071636152302</v>
      </c>
      <c r="M10">
        <f t="shared" si="4"/>
        <v>0.3400968554724938</v>
      </c>
      <c r="N10">
        <f t="shared" si="5"/>
        <v>1.8706107382550328E-5</v>
      </c>
      <c r="O10">
        <f t="shared" si="6"/>
        <v>2.8360872483221473E-5</v>
      </c>
    </row>
    <row r="11" spans="1:19" x14ac:dyDescent="0.4">
      <c r="A11">
        <v>150</v>
      </c>
      <c r="B11">
        <v>0.28000000000000003</v>
      </c>
      <c r="C11">
        <v>0.01</v>
      </c>
      <c r="D11">
        <v>0.62</v>
      </c>
      <c r="E11">
        <v>0.01</v>
      </c>
      <c r="F11">
        <v>0.81</v>
      </c>
      <c r="G11">
        <v>0.01</v>
      </c>
      <c r="I11">
        <f t="shared" si="0"/>
        <v>3.7412214765100669E-5</v>
      </c>
      <c r="J11">
        <f t="shared" si="1"/>
        <v>4.8877248322147648E-5</v>
      </c>
      <c r="K11">
        <f t="shared" si="2"/>
        <v>1.6895838926174497E-5</v>
      </c>
      <c r="L11">
        <f t="shared" si="3"/>
        <v>0.52237098716363428</v>
      </c>
      <c r="M11">
        <f t="shared" si="4"/>
        <v>0.33510591629365211</v>
      </c>
      <c r="N11">
        <f t="shared" si="5"/>
        <v>2.0516375838926172E-5</v>
      </c>
      <c r="O11">
        <f t="shared" si="6"/>
        <v>3.1981409395973154E-5</v>
      </c>
    </row>
    <row r="12" spans="1:19" x14ac:dyDescent="0.4">
      <c r="D12">
        <v>87</v>
      </c>
      <c r="F12">
        <v>85</v>
      </c>
      <c r="L12">
        <v>87</v>
      </c>
      <c r="M12">
        <v>85</v>
      </c>
    </row>
    <row r="15" spans="1:19" x14ac:dyDescent="0.4">
      <c r="P15" t="s">
        <v>17</v>
      </c>
      <c r="Q15" t="s">
        <v>18</v>
      </c>
      <c r="R15" t="s">
        <v>7</v>
      </c>
      <c r="S15" t="s">
        <v>24</v>
      </c>
    </row>
    <row r="16" spans="1:19" x14ac:dyDescent="0.4">
      <c r="N16">
        <v>87</v>
      </c>
      <c r="O16" t="s">
        <v>16</v>
      </c>
      <c r="P16">
        <f>SLOPE(N3:N11,A3:A11)</f>
        <v>1.401278669222817E-7</v>
      </c>
      <c r="Q16">
        <f>INTERCEPT(N3:N11,A3:A11)</f>
        <v>-5.7136821755959608E-7</v>
      </c>
      <c r="R16">
        <f>7.144773*10^(-11)*1000/P16</f>
        <v>0.50987524158650488</v>
      </c>
      <c r="S16">
        <f>R16/R17</f>
        <v>1.5151129223976911</v>
      </c>
    </row>
    <row r="17" spans="1:18" x14ac:dyDescent="0.4">
      <c r="N17">
        <v>85</v>
      </c>
      <c r="O17" t="s">
        <v>19</v>
      </c>
      <c r="P17">
        <f>SLOPE(O3:O11,A3:A11)</f>
        <v>2.1230954196197299E-7</v>
      </c>
      <c r="Q17">
        <f>INTERCEPT(O3:O11,A3:A11)</f>
        <v>-3.7456738847099823E-7</v>
      </c>
      <c r="R17">
        <f>7.144773*10^(-11)*1000/P17</f>
        <v>0.33652623117993008</v>
      </c>
    </row>
    <row r="30" spans="1:18" x14ac:dyDescent="0.4">
      <c r="A30" t="s">
        <v>20</v>
      </c>
    </row>
    <row r="31" spans="1:18" x14ac:dyDescent="0.4">
      <c r="A31" t="s">
        <v>21</v>
      </c>
      <c r="B31" t="s">
        <v>22</v>
      </c>
    </row>
    <row r="32" spans="1:18" x14ac:dyDescent="0.4">
      <c r="A32">
        <v>0.18</v>
      </c>
      <c r="B32">
        <f>8.991*0.001*20/0.11735*A32</f>
        <v>0.27582104814657005</v>
      </c>
    </row>
    <row r="33" spans="2:2" x14ac:dyDescent="0.4">
      <c r="B33" t="s">
        <v>23</v>
      </c>
    </row>
    <row r="34" spans="2:2" x14ac:dyDescent="0.4">
      <c r="B34">
        <f>10^(4)*AVERAGE(K3:K11)</f>
        <v>0.16694697986577181</v>
      </c>
    </row>
    <row r="35" spans="2:2" x14ac:dyDescent="0.4">
      <c r="B35" t="s">
        <v>25</v>
      </c>
    </row>
    <row r="36" spans="2:2" x14ac:dyDescent="0.4">
      <c r="B36">
        <f>(B32^2+B34^2)^(1/2)</f>
        <v>0.32241052198551917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Haoyang Huang</cp:lastModifiedBy>
  <dcterms:created xsi:type="dcterms:W3CDTF">2015-06-05T18:17:20Z</dcterms:created>
  <dcterms:modified xsi:type="dcterms:W3CDTF">2025-11-06T11:04:07Z</dcterms:modified>
</cp:coreProperties>
</file>
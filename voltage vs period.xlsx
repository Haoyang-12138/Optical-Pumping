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hh612_OP\20251021\"/>
    </mc:Choice>
  </mc:AlternateContent>
  <xr:revisionPtr revIDLastSave="0" documentId="13_ncr:1_{731C8986-707A-47E9-9B9D-BF009F47C0C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J18" i="1"/>
  <c r="K10" i="1"/>
  <c r="K9" i="1"/>
  <c r="K3" i="1" l="1"/>
  <c r="K4" i="1"/>
  <c r="K5" i="1"/>
  <c r="K6" i="1"/>
  <c r="K7" i="1"/>
  <c r="K8" i="1"/>
  <c r="K2" i="1"/>
</calcChain>
</file>

<file path=xl/sharedStrings.xml><?xml version="1.0" encoding="utf-8"?>
<sst xmlns="http://schemas.openxmlformats.org/spreadsheetml/2006/main" count="9" uniqueCount="8">
  <si>
    <t>voltage of RF</t>
    <phoneticPr fontId="1" type="noConversion"/>
  </si>
  <si>
    <t>error/ms</t>
    <phoneticPr fontId="1" type="noConversion"/>
  </si>
  <si>
    <t>1/voltage</t>
    <phoneticPr fontId="1" type="noConversion"/>
  </si>
  <si>
    <t>period1/ms</t>
    <phoneticPr fontId="1" type="noConversion"/>
  </si>
  <si>
    <t>period2/ms</t>
    <phoneticPr fontId="1" type="noConversion"/>
  </si>
  <si>
    <t>error of voltage</t>
    <phoneticPr fontId="1" type="noConversion"/>
  </si>
  <si>
    <t>ratio of gradient</t>
    <phoneticPr fontId="1" type="noConversion"/>
  </si>
  <si>
    <t>period 2/period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</si>
</sst>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P</a:t>
            </a:r>
            <a:r>
              <a:rPr lang="en-US" altLang="zh-CN"/>
              <a:t>eriod of</a:t>
            </a:r>
            <a:r>
              <a:rPr lang="en-US" altLang="zh-CN" baseline="0"/>
              <a:t> ringing (ms) vs 1/Peak RF Voltage (1/V)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0.3000000000000000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Sheet1!$K$2:$K$10</c:f>
              <c:numCache>
                <c:formatCode>General</c:formatCode>
                <c:ptCount val="9"/>
                <c:pt idx="0">
                  <c:v>0.30303030303030304</c:v>
                </c:pt>
                <c:pt idx="1">
                  <c:v>0.35714285714285715</c:v>
                </c:pt>
                <c:pt idx="2">
                  <c:v>0.58823529411764708</c:v>
                </c:pt>
                <c:pt idx="3">
                  <c:v>1.0204081632653061</c:v>
                </c:pt>
                <c:pt idx="4">
                  <c:v>0.26315789473684209</c:v>
                </c:pt>
                <c:pt idx="5">
                  <c:v>0.45454545454545453</c:v>
                </c:pt>
                <c:pt idx="6">
                  <c:v>0.7142857142857143</c:v>
                </c:pt>
                <c:pt idx="7">
                  <c:v>0.86956521739130443</c:v>
                </c:pt>
                <c:pt idx="8">
                  <c:v>0.21739130434782611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0.27</c:v>
                </c:pt>
                <c:pt idx="1">
                  <c:v>0.31</c:v>
                </c:pt>
                <c:pt idx="2">
                  <c:v>0.52</c:v>
                </c:pt>
                <c:pt idx="3">
                  <c:v>0.88</c:v>
                </c:pt>
                <c:pt idx="4">
                  <c:v>0.24</c:v>
                </c:pt>
                <c:pt idx="5">
                  <c:v>0.4</c:v>
                </c:pt>
                <c:pt idx="6">
                  <c:v>0.63</c:v>
                </c:pt>
                <c:pt idx="7">
                  <c:v>0.76</c:v>
                </c:pt>
                <c:pt idx="8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9-4921-BF9C-46BA66E0D655}"/>
            </c:ext>
          </c:extLst>
        </c:ser>
        <c:ser>
          <c:idx val="1"/>
          <c:order val="1"/>
          <c:tx>
            <c:v>85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3000000000000000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Sheet1!$K$2:$K$11</c:f>
              <c:numCache>
                <c:formatCode>General</c:formatCode>
                <c:ptCount val="10"/>
                <c:pt idx="0">
                  <c:v>0.30303030303030304</c:v>
                </c:pt>
                <c:pt idx="1">
                  <c:v>0.35714285714285715</c:v>
                </c:pt>
                <c:pt idx="2">
                  <c:v>0.58823529411764708</c:v>
                </c:pt>
                <c:pt idx="3">
                  <c:v>1.0204081632653061</c:v>
                </c:pt>
                <c:pt idx="4">
                  <c:v>0.26315789473684209</c:v>
                </c:pt>
                <c:pt idx="5">
                  <c:v>0.45454545454545453</c:v>
                </c:pt>
                <c:pt idx="6">
                  <c:v>0.7142857142857143</c:v>
                </c:pt>
                <c:pt idx="7">
                  <c:v>0.86956521739130443</c:v>
                </c:pt>
                <c:pt idx="8">
                  <c:v>0.21739130434782611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0.39500000000000002</c:v>
                </c:pt>
                <c:pt idx="1">
                  <c:v>0.47</c:v>
                </c:pt>
                <c:pt idx="2">
                  <c:v>0.79</c:v>
                </c:pt>
                <c:pt idx="3">
                  <c:v>1.31</c:v>
                </c:pt>
                <c:pt idx="4">
                  <c:v>0.36</c:v>
                </c:pt>
                <c:pt idx="5">
                  <c:v>0.59</c:v>
                </c:pt>
                <c:pt idx="6">
                  <c:v>0.91500000000000004</c:v>
                </c:pt>
                <c:pt idx="7">
                  <c:v>1.1499999999999999</c:v>
                </c:pt>
                <c:pt idx="8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9-4921-BF9C-46BA66E0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932128"/>
        <c:axId val="2127305200"/>
      </c:scatterChart>
      <c:valAx>
        <c:axId val="179993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1/Peak RF Voltage (1/V)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305200"/>
        <c:crosses val="autoZero"/>
        <c:crossBetween val="midCat"/>
      </c:valAx>
      <c:valAx>
        <c:axId val="212730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eriod of ringing (ms) 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93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436880</xdr:colOff>
      <xdr:row>14</xdr:row>
      <xdr:rowOff>12849</xdr:rowOff>
    </xdr:from>
    <xdr:to>
      <xdr:col>12</xdr:col>
      <xdr:colOff>193074</xdr:colOff>
      <xdr:row>29</xdr:row>
      <xdr:rowOff>110795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8F777-B228-14FF-3923-A03341E62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74" workbookViewId="0">
      <selection activeCell="P21" sqref="P21"/>
    </sheetView>
  </sheetViews>
  <sheetFormatPr defaultRowHeight="13.9" x14ac:dyDescent="0.4"/>
  <sheetData>
    <row r="1" spans="1:11" x14ac:dyDescent="0.4">
      <c r="A1" t="s">
        <v>0</v>
      </c>
      <c r="B1" t="s">
        <v>3</v>
      </c>
      <c r="C1" t="s">
        <v>1</v>
      </c>
      <c r="D1" t="s">
        <v>4</v>
      </c>
      <c r="E1" t="s">
        <v>1</v>
      </c>
      <c r="F1" t="s">
        <v>7</v>
      </c>
      <c r="I1" t="s">
        <v>5</v>
      </c>
      <c r="K1" t="s">
        <v>2</v>
      </c>
    </row>
    <row r="2" spans="1:11" x14ac:dyDescent="0.4">
      <c r="A2">
        <v>3.3</v>
      </c>
      <c r="B2">
        <v>0.27</v>
      </c>
      <c r="C2">
        <v>0.02</v>
      </c>
      <c r="D2">
        <v>0.39500000000000002</v>
      </c>
      <c r="E2">
        <v>0.03</v>
      </c>
      <c r="F2">
        <f>D2/B2</f>
        <v>1.462962962962963</v>
      </c>
      <c r="I2">
        <v>0.2</v>
      </c>
      <c r="K2">
        <f t="shared" ref="K2:K10" si="0">1/A2</f>
        <v>0.30303030303030304</v>
      </c>
    </row>
    <row r="3" spans="1:11" x14ac:dyDescent="0.4">
      <c r="A3">
        <v>2.8</v>
      </c>
      <c r="B3">
        <v>0.31</v>
      </c>
      <c r="C3">
        <v>0.03</v>
      </c>
      <c r="D3">
        <v>0.47</v>
      </c>
      <c r="E3">
        <v>0.04</v>
      </c>
      <c r="F3">
        <f t="shared" ref="F3:F10" si="1">D3/B3</f>
        <v>1.5161290322580645</v>
      </c>
      <c r="I3">
        <v>0.4</v>
      </c>
      <c r="K3">
        <f t="shared" si="0"/>
        <v>0.35714285714285715</v>
      </c>
    </row>
    <row r="4" spans="1:11" x14ac:dyDescent="0.4">
      <c r="A4">
        <v>1.7</v>
      </c>
      <c r="B4">
        <v>0.52</v>
      </c>
      <c r="C4">
        <v>0.04</v>
      </c>
      <c r="D4">
        <v>0.79</v>
      </c>
      <c r="E4">
        <v>0.02</v>
      </c>
      <c r="F4">
        <f t="shared" si="1"/>
        <v>1.5192307692307692</v>
      </c>
      <c r="I4">
        <v>0.1</v>
      </c>
      <c r="K4">
        <f t="shared" si="0"/>
        <v>0.58823529411764708</v>
      </c>
    </row>
    <row r="5" spans="1:11" x14ac:dyDescent="0.4">
      <c r="A5">
        <v>0.98</v>
      </c>
      <c r="B5">
        <v>0.88</v>
      </c>
      <c r="C5">
        <v>0.06</v>
      </c>
      <c r="D5">
        <v>1.31</v>
      </c>
      <c r="E5">
        <v>0.12</v>
      </c>
      <c r="F5">
        <f t="shared" si="1"/>
        <v>1.4886363636363638</v>
      </c>
      <c r="I5">
        <v>0.1</v>
      </c>
      <c r="K5">
        <f t="shared" si="0"/>
        <v>1.0204081632653061</v>
      </c>
    </row>
    <row r="6" spans="1:11" x14ac:dyDescent="0.4">
      <c r="A6">
        <v>3.8</v>
      </c>
      <c r="B6">
        <v>0.24</v>
      </c>
      <c r="C6">
        <v>0.02</v>
      </c>
      <c r="D6">
        <v>0.36</v>
      </c>
      <c r="E6">
        <v>0.02</v>
      </c>
      <c r="F6">
        <f t="shared" si="1"/>
        <v>1.5</v>
      </c>
      <c r="I6">
        <v>0.2</v>
      </c>
      <c r="K6">
        <f t="shared" si="0"/>
        <v>0.26315789473684209</v>
      </c>
    </row>
    <row r="7" spans="1:11" x14ac:dyDescent="0.4">
      <c r="A7">
        <v>2.2000000000000002</v>
      </c>
      <c r="B7">
        <v>0.4</v>
      </c>
      <c r="C7">
        <v>0.02</v>
      </c>
      <c r="D7">
        <v>0.59</v>
      </c>
      <c r="E7">
        <v>0.04</v>
      </c>
      <c r="F7">
        <f t="shared" si="1"/>
        <v>1.4749999999999999</v>
      </c>
      <c r="I7">
        <v>0.2</v>
      </c>
      <c r="K7">
        <f t="shared" si="0"/>
        <v>0.45454545454545453</v>
      </c>
    </row>
    <row r="8" spans="1:11" x14ac:dyDescent="0.4">
      <c r="A8">
        <v>1.4</v>
      </c>
      <c r="B8">
        <v>0.63</v>
      </c>
      <c r="C8">
        <v>0.03</v>
      </c>
      <c r="D8">
        <v>0.91500000000000004</v>
      </c>
      <c r="E8">
        <v>0.04</v>
      </c>
      <c r="F8">
        <f t="shared" si="1"/>
        <v>1.4523809523809523</v>
      </c>
      <c r="I8">
        <v>0.1</v>
      </c>
      <c r="K8">
        <f t="shared" si="0"/>
        <v>0.7142857142857143</v>
      </c>
    </row>
    <row r="9" spans="1:11" x14ac:dyDescent="0.4">
      <c r="A9">
        <v>1.1499999999999999</v>
      </c>
      <c r="B9">
        <v>0.76</v>
      </c>
      <c r="C9">
        <v>0.06</v>
      </c>
      <c r="D9">
        <v>1.1499999999999999</v>
      </c>
      <c r="E9">
        <v>0.1</v>
      </c>
      <c r="F9">
        <f t="shared" si="1"/>
        <v>1.513157894736842</v>
      </c>
      <c r="I9">
        <v>0.1</v>
      </c>
      <c r="K9">
        <f t="shared" si="0"/>
        <v>0.86956521739130443</v>
      </c>
    </row>
    <row r="10" spans="1:11" x14ac:dyDescent="0.4">
      <c r="A10">
        <v>4.5999999999999996</v>
      </c>
      <c r="B10">
        <v>0.19</v>
      </c>
      <c r="C10">
        <v>0.02</v>
      </c>
      <c r="D10">
        <v>0.28000000000000003</v>
      </c>
      <c r="E10">
        <v>0.02</v>
      </c>
      <c r="F10">
        <f t="shared" si="1"/>
        <v>1.4736842105263159</v>
      </c>
      <c r="I10">
        <v>0.1</v>
      </c>
      <c r="K10">
        <f t="shared" si="0"/>
        <v>0.21739130434782611</v>
      </c>
    </row>
    <row r="17" spans="10:10" x14ac:dyDescent="0.4">
      <c r="J17" t="s">
        <v>6</v>
      </c>
    </row>
    <row r="18" spans="10:10" x14ac:dyDescent="0.4">
      <c r="J18">
        <f>SLOPE(D2:D10,K2:K10)/SLOPE(B2:B10,K2:K10)</f>
        <v>1.4952565472536976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2025-11-06T11:04:12Z</dcterms:modified>
</cp:coreProperties>
</file>
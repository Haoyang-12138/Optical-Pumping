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hh612_OP\multiphoton\"/>
    </mc:Choice>
  </mc:AlternateContent>
  <xr:revisionPtr revIDLastSave="0" documentId="13_ncr:1_{51CBC4EC-7873-43F1-A733-9CCD0CC1B1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R5" i="1" s="1"/>
  <c r="L3" i="1"/>
  <c r="L4" i="1"/>
  <c r="L6" i="1"/>
  <c r="L2" i="1"/>
  <c r="R2" i="1"/>
  <c r="R3" i="1"/>
  <c r="R4" i="1"/>
  <c r="R6" i="1"/>
  <c r="Q3" i="1"/>
  <c r="Q4" i="1"/>
  <c r="Q5" i="1"/>
  <c r="Q6" i="1"/>
  <c r="P3" i="1"/>
  <c r="P4" i="1"/>
  <c r="P5" i="1"/>
  <c r="P6" i="1"/>
  <c r="P2" i="1"/>
  <c r="Q2" i="1"/>
  <c r="O9" i="1" l="1"/>
  <c r="N9" i="1"/>
</calcChain>
</file>

<file path=xl/sharedStrings.xml><?xml version="1.0" encoding="utf-8"?>
<sst xmlns="http://schemas.openxmlformats.org/spreadsheetml/2006/main" count="21" uniqueCount="21">
  <si>
    <t>zero peak/T</t>
    <phoneticPr fontId="1" type="noConversion"/>
  </si>
  <si>
    <t>First Peak</t>
    <phoneticPr fontId="1" type="noConversion"/>
  </si>
  <si>
    <t>Second peak</t>
    <phoneticPr fontId="1" type="noConversion"/>
  </si>
  <si>
    <t>85 double</t>
    <phoneticPr fontId="1" type="noConversion"/>
  </si>
  <si>
    <t>87 double</t>
    <phoneticPr fontId="1" type="noConversion"/>
  </si>
  <si>
    <t>30kHz</t>
    <phoneticPr fontId="1" type="noConversion"/>
  </si>
  <si>
    <t>frequency</t>
    <phoneticPr fontId="1" type="noConversion"/>
  </si>
  <si>
    <t>peak height/V</t>
    <phoneticPr fontId="1" type="noConversion"/>
  </si>
  <si>
    <t>error85</t>
    <phoneticPr fontId="1" type="noConversion"/>
  </si>
  <si>
    <t>error87</t>
    <phoneticPr fontId="1" type="noConversion"/>
  </si>
  <si>
    <t>RF voltage/V</t>
    <phoneticPr fontId="1" type="noConversion"/>
  </si>
  <si>
    <t>LOG RF</t>
    <phoneticPr fontId="1" type="noConversion"/>
  </si>
  <si>
    <t>slope 85</t>
    <phoneticPr fontId="1" type="noConversion"/>
  </si>
  <si>
    <t>slope 87</t>
    <phoneticPr fontId="1" type="noConversion"/>
  </si>
  <si>
    <t>loG87PEAK</t>
    <phoneticPr fontId="1" type="noConversion"/>
  </si>
  <si>
    <t xml:space="preserve">LOG 85 </t>
    <phoneticPr fontId="1" type="noConversion"/>
  </si>
  <si>
    <t>peak 85 overlap, harder to see,</t>
    <phoneticPr fontId="1" type="noConversion"/>
  </si>
  <si>
    <t>3-peak</t>
    <phoneticPr fontId="1" type="noConversion"/>
  </si>
  <si>
    <t>0.699V</t>
    <phoneticPr fontId="1" type="noConversion"/>
  </si>
  <si>
    <t>0.907V</t>
    <phoneticPr fontId="1" type="noConversion"/>
  </si>
  <si>
    <t>85，87可能弄反了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</si>
</sst>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="107" workbookViewId="0">
      <selection activeCell="L16" sqref="L16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6</v>
      </c>
      <c r="I1" t="s">
        <v>10</v>
      </c>
      <c r="J1" t="s">
        <v>7</v>
      </c>
      <c r="K1">
        <v>87</v>
      </c>
      <c r="L1">
        <v>85</v>
      </c>
      <c r="M1" t="s">
        <v>9</v>
      </c>
      <c r="N1" t="s">
        <v>8</v>
      </c>
      <c r="P1" t="s">
        <v>11</v>
      </c>
      <c r="Q1" t="s">
        <v>14</v>
      </c>
      <c r="R1" t="s">
        <v>15</v>
      </c>
    </row>
    <row r="2" spans="1:18" x14ac:dyDescent="0.4">
      <c r="A2">
        <v>0.27500000000000002</v>
      </c>
      <c r="B2">
        <v>0.2</v>
      </c>
      <c r="C2">
        <v>0.17</v>
      </c>
      <c r="E2">
        <v>0.13500000000000001</v>
      </c>
      <c r="F2">
        <v>7.0000000000000007E-2</v>
      </c>
      <c r="H2" t="s">
        <v>5</v>
      </c>
      <c r="I2">
        <v>20</v>
      </c>
      <c r="K2">
        <v>0.5</v>
      </c>
      <c r="L2">
        <f>D8-0.45</f>
        <v>0.65000000000000013</v>
      </c>
      <c r="M2">
        <v>0.02</v>
      </c>
      <c r="N2">
        <v>0.1</v>
      </c>
      <c r="P2">
        <f>LOG10(I2)</f>
        <v>1.3010299956639813</v>
      </c>
      <c r="Q2">
        <f>LOG10(K2)</f>
        <v>-0.3010299956639812</v>
      </c>
      <c r="R2">
        <f>LOG10(L2)</f>
        <v>-0.18708664335714434</v>
      </c>
    </row>
    <row r="3" spans="1:18" x14ac:dyDescent="0.4">
      <c r="E3">
        <v>0.41599999999999998</v>
      </c>
      <c r="F3">
        <v>0.48599999999999999</v>
      </c>
      <c r="I3">
        <v>15</v>
      </c>
      <c r="K3">
        <v>0.16</v>
      </c>
      <c r="L3">
        <f t="shared" ref="L3:L6" si="0">D9-0.45</f>
        <v>0.23000000000000004</v>
      </c>
      <c r="M3">
        <v>0.02</v>
      </c>
      <c r="N3">
        <v>0.05</v>
      </c>
      <c r="P3">
        <f>LOG10(I3)</f>
        <v>1.1760912590556813</v>
      </c>
      <c r="Q3">
        <f>LOG10(K3)</f>
        <v>-0.79588001734407521</v>
      </c>
      <c r="R3">
        <f t="shared" ref="R3:R6" si="1">LOG10(L3)</f>
        <v>-0.63827216398240705</v>
      </c>
    </row>
    <row r="4" spans="1:18" x14ac:dyDescent="0.4">
      <c r="I4">
        <v>16.5</v>
      </c>
      <c r="K4">
        <v>0.23</v>
      </c>
      <c r="L4">
        <f t="shared" si="0"/>
        <v>0.35000000000000003</v>
      </c>
      <c r="M4">
        <v>0.02</v>
      </c>
      <c r="N4">
        <v>0.05</v>
      </c>
      <c r="P4">
        <f>LOG10(I4)</f>
        <v>1.2174839442139063</v>
      </c>
      <c r="Q4">
        <f>LOG10(K4)</f>
        <v>-0.63827216398240705</v>
      </c>
      <c r="R4">
        <f t="shared" si="1"/>
        <v>-0.45593195564972433</v>
      </c>
    </row>
    <row r="5" spans="1:18" x14ac:dyDescent="0.4">
      <c r="I5">
        <v>18</v>
      </c>
      <c r="K5">
        <v>0.32</v>
      </c>
      <c r="L5">
        <f>D11-0.45</f>
        <v>0.49999999999999994</v>
      </c>
      <c r="M5">
        <v>0.03</v>
      </c>
      <c r="N5">
        <v>0.06</v>
      </c>
      <c r="P5">
        <f>LOG10(I5)</f>
        <v>1.255272505103306</v>
      </c>
      <c r="Q5">
        <f>LOG10(K5)</f>
        <v>-0.49485002168009401</v>
      </c>
      <c r="R5">
        <f t="shared" si="1"/>
        <v>-0.30102999566398125</v>
      </c>
    </row>
    <row r="6" spans="1:18" x14ac:dyDescent="0.4">
      <c r="I6">
        <v>12.5</v>
      </c>
      <c r="K6">
        <v>0.08</v>
      </c>
      <c r="L6">
        <f t="shared" si="0"/>
        <v>9.0000000000000024E-2</v>
      </c>
      <c r="M6">
        <v>0.01</v>
      </c>
      <c r="N6">
        <v>0.03</v>
      </c>
      <c r="P6">
        <f>LOG10(I6)</f>
        <v>1.0969100130080565</v>
      </c>
      <c r="Q6">
        <f>LOG10(K6)</f>
        <v>-1.0969100130080565</v>
      </c>
      <c r="R6">
        <f t="shared" si="1"/>
        <v>-1.045757490560675</v>
      </c>
    </row>
    <row r="8" spans="1:18" x14ac:dyDescent="0.4">
      <c r="D8">
        <v>1.1000000000000001</v>
      </c>
      <c r="N8" t="s">
        <v>13</v>
      </c>
      <c r="O8" t="s">
        <v>12</v>
      </c>
    </row>
    <row r="9" spans="1:18" x14ac:dyDescent="0.4">
      <c r="D9">
        <v>0.68</v>
      </c>
      <c r="N9">
        <f>SLOPE(Q2:Q6,P2:P6)</f>
        <v>3.8766971647189563</v>
      </c>
      <c r="O9">
        <f>SLOPE(R2:R6,P2:P6)</f>
        <v>4.2807997067245038</v>
      </c>
    </row>
    <row r="10" spans="1:18" x14ac:dyDescent="0.4">
      <c r="D10">
        <v>0.8</v>
      </c>
    </row>
    <row r="11" spans="1:18" x14ac:dyDescent="0.4">
      <c r="D11">
        <v>0.95</v>
      </c>
      <c r="L11" t="s">
        <v>16</v>
      </c>
    </row>
    <row r="12" spans="1:18" x14ac:dyDescent="0.4">
      <c r="D12">
        <v>0.54</v>
      </c>
      <c r="H12" t="s">
        <v>17</v>
      </c>
      <c r="I12" t="s">
        <v>18</v>
      </c>
    </row>
    <row r="13" spans="1:18" x14ac:dyDescent="0.4">
      <c r="I13" t="s">
        <v>19</v>
      </c>
    </row>
    <row r="15" spans="1:18" x14ac:dyDescent="0.4">
      <c r="L1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2025-10-31T00:30:27Z</dcterms:modified>
</cp:coreProperties>
</file>
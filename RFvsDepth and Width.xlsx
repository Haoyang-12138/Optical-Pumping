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hh612_OP\20251024\"/>
    </mc:Choice>
  </mc:AlternateContent>
  <xr:revisionPtr revIDLastSave="0" documentId="13_ncr:1_{573A930E-BF1B-4CA0-8841-8EFFC7A4A1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P19" i="1"/>
  <c r="O19" i="1"/>
  <c r="R19" i="1"/>
  <c r="S31" i="1" s="1"/>
  <c r="Q19" i="1"/>
  <c r="N19" i="1"/>
  <c r="P16" i="1"/>
  <c r="P17" i="1"/>
  <c r="P18" i="1"/>
  <c r="P20" i="1"/>
  <c r="O16" i="1"/>
  <c r="O17" i="1"/>
  <c r="O18" i="1"/>
  <c r="O20" i="1"/>
  <c r="K15" i="1"/>
  <c r="K16" i="1"/>
  <c r="K17" i="1"/>
  <c r="K18" i="1"/>
  <c r="K20" i="1"/>
  <c r="L16" i="1"/>
  <c r="L17" i="1"/>
  <c r="L18" i="1"/>
  <c r="L20" i="1"/>
  <c r="Q16" i="1"/>
  <c r="R16" i="1"/>
  <c r="N1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7" i="1"/>
  <c r="R20" i="1"/>
  <c r="R21" i="1"/>
  <c r="R22" i="1"/>
  <c r="R1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7" i="1"/>
  <c r="Q20" i="1"/>
  <c r="Q21" i="1"/>
  <c r="Q22" i="1"/>
  <c r="Q18" i="1"/>
  <c r="N18" i="1"/>
  <c r="N22" i="1"/>
  <c r="N21" i="1"/>
  <c r="L13" i="1" l="1"/>
  <c r="P13" i="1"/>
  <c r="K13" i="1"/>
  <c r="O13" i="1"/>
  <c r="N13" i="1"/>
  <c r="R2" i="1"/>
  <c r="L15" i="1"/>
  <c r="P15" i="1"/>
  <c r="O15" i="1"/>
  <c r="N15" i="1"/>
  <c r="L12" i="1"/>
  <c r="P12" i="1"/>
  <c r="K12" i="1"/>
  <c r="O6" i="1"/>
  <c r="O5" i="1"/>
  <c r="O4" i="1"/>
  <c r="O3" i="1"/>
  <c r="O2" i="1"/>
  <c r="O11" i="1"/>
  <c r="O14" i="1"/>
  <c r="O8" i="1"/>
  <c r="O9" i="1"/>
  <c r="O10" i="1"/>
  <c r="O12" i="1"/>
  <c r="L10" i="1"/>
  <c r="P10" i="1"/>
  <c r="K10" i="1"/>
  <c r="N12" i="1"/>
  <c r="N10" i="1"/>
  <c r="L9" i="1"/>
  <c r="P9" i="1"/>
  <c r="K9" i="1"/>
  <c r="L8" i="1"/>
  <c r="K8" i="1"/>
  <c r="N9" i="1"/>
  <c r="N8" i="1"/>
  <c r="L14" i="1"/>
  <c r="K14" i="1"/>
  <c r="L11" i="1"/>
  <c r="K11" i="1"/>
  <c r="K2" i="1"/>
  <c r="Q2" i="1"/>
  <c r="N6" i="1"/>
  <c r="N5" i="1"/>
  <c r="N4" i="1"/>
  <c r="N3" i="1"/>
  <c r="N2" i="1"/>
  <c r="N11" i="1"/>
  <c r="N14" i="1"/>
  <c r="N17" i="1"/>
  <c r="N20" i="1"/>
  <c r="P6" i="1"/>
  <c r="P5" i="1"/>
  <c r="P4" i="1"/>
  <c r="P3" i="1"/>
  <c r="P2" i="1"/>
  <c r="P11" i="1"/>
  <c r="P14" i="1"/>
  <c r="P8" i="1"/>
  <c r="P7" i="1"/>
  <c r="O7" i="1"/>
  <c r="N7" i="1"/>
  <c r="L7" i="1"/>
  <c r="L6" i="1"/>
  <c r="L5" i="1"/>
  <c r="L4" i="1"/>
  <c r="L3" i="1"/>
  <c r="L2" i="1"/>
  <c r="K7" i="1"/>
  <c r="K6" i="1"/>
  <c r="K5" i="1"/>
  <c r="K4" i="1"/>
  <c r="K3" i="1"/>
  <c r="S29" i="1" l="1"/>
  <c r="G46" i="1"/>
</calcChain>
</file>

<file path=xl/sharedStrings.xml><?xml version="1.0" encoding="utf-8"?>
<sst xmlns="http://schemas.openxmlformats.org/spreadsheetml/2006/main" count="21" uniqueCount="20">
  <si>
    <t>RF/V on function generator</t>
    <phoneticPr fontId="1" type="noConversion"/>
  </si>
  <si>
    <t>85,peak depth/mV</t>
    <phoneticPr fontId="1" type="noConversion"/>
  </si>
  <si>
    <t>87, peak depth /mV</t>
    <phoneticPr fontId="1" type="noConversion"/>
  </si>
  <si>
    <t>error/mv</t>
    <phoneticPr fontId="1" type="noConversion"/>
  </si>
  <si>
    <t>85, width/mV (voltage of  sweep field)</t>
    <phoneticPr fontId="1" type="noConversion"/>
  </si>
  <si>
    <t>87,width /Mv</t>
    <phoneticPr fontId="1" type="noConversion"/>
  </si>
  <si>
    <t>85 delta f</t>
    <phoneticPr fontId="1" type="noConversion"/>
  </si>
  <si>
    <t>87 delta f</t>
    <phoneticPr fontId="1" type="noConversion"/>
  </si>
  <si>
    <t>SWEEP PERIOD/s</t>
    <phoneticPr fontId="1" type="noConversion"/>
  </si>
  <si>
    <t>Sweep Range/V</t>
    <phoneticPr fontId="1" type="noConversion"/>
  </si>
  <si>
    <t>LOG10(rf VOLTAGE</t>
    <phoneticPr fontId="1" type="noConversion"/>
  </si>
  <si>
    <t>LOG(85 WIDTH)</t>
    <phoneticPr fontId="1" type="noConversion"/>
  </si>
  <si>
    <t>LOG(87WIDTH)</t>
    <phoneticPr fontId="1" type="noConversion"/>
  </si>
  <si>
    <t>LOG(85 PEAK)</t>
    <phoneticPr fontId="1" type="noConversion"/>
  </si>
  <si>
    <t>LOG(87PEAK)</t>
    <phoneticPr fontId="1" type="noConversion"/>
  </si>
  <si>
    <t>75kHz</t>
    <phoneticPr fontId="1" type="noConversion"/>
  </si>
  <si>
    <t>SLOPE</t>
    <phoneticPr fontId="1" type="noConversion"/>
  </si>
  <si>
    <t>INTERCEPET</t>
    <phoneticPr fontId="1" type="noConversion"/>
  </si>
  <si>
    <t>85 peak slope</t>
    <phoneticPr fontId="1" type="noConversion"/>
  </si>
  <si>
    <t>87 peak 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</si>
</sst>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H</a:t>
            </a:r>
            <a:r>
              <a:rPr lang="en-US" altLang="zh-CN"/>
              <a:t>alf peak</a:t>
            </a:r>
            <a:r>
              <a:rPr lang="en-US" altLang="zh-CN" baseline="0"/>
              <a:t> </a:t>
            </a:r>
            <a:r>
              <a:rPr lang="en-GB" altLang="zh-CN" baseline="0"/>
              <a:t>width and RF voltage</a:t>
            </a:r>
          </a:p>
          <a:p>
            <a:pPr>
              <a:defRPr/>
            </a:pPr>
            <a:r>
              <a:rPr lang="en-GB" altLang="zh-CN"/>
              <a:t>log vs log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3489982935759584E-2"/>
          <c:y val="0.25619047619047619"/>
          <c:w val="0.90697465782740261"/>
          <c:h val="0.66502914408426217"/>
        </c:manualLayout>
      </c:layout>
      <c:scatterChart>
        <c:scatterStyle val="lineMarker"/>
        <c:varyColors val="0"/>
        <c:ser>
          <c:idx val="0"/>
          <c:order val="0"/>
          <c:tx>
            <c:v>87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Sheet1!$N$2:$N$18</c:f>
              <c:numCache>
                <c:formatCode>General</c:formatCode>
                <c:ptCount val="17"/>
                <c:pt idx="0">
                  <c:v>1.3010299956639813</c:v>
                </c:pt>
                <c:pt idx="1">
                  <c:v>1.2041199826559248</c:v>
                </c:pt>
                <c:pt idx="2">
                  <c:v>1.0791812460476249</c:v>
                </c:pt>
                <c:pt idx="3">
                  <c:v>1</c:v>
                </c:pt>
                <c:pt idx="4">
                  <c:v>0.90308998699194354</c:v>
                </c:pt>
                <c:pt idx="5">
                  <c:v>0.77815125038364363</c:v>
                </c:pt>
                <c:pt idx="6">
                  <c:v>0.69897000433601886</c:v>
                </c:pt>
                <c:pt idx="7">
                  <c:v>0.54406804435027567</c:v>
                </c:pt>
                <c:pt idx="8">
                  <c:v>0.3979400086720376</c:v>
                </c:pt>
                <c:pt idx="9">
                  <c:v>0.3010299956639812</c:v>
                </c:pt>
                <c:pt idx="10">
                  <c:v>0.17609125905568124</c:v>
                </c:pt>
                <c:pt idx="11">
                  <c:v>9.691001300805642E-2</c:v>
                </c:pt>
                <c:pt idx="12">
                  <c:v>0</c:v>
                </c:pt>
                <c:pt idx="13">
                  <c:v>-0.12493873660829995</c:v>
                </c:pt>
                <c:pt idx="14">
                  <c:v>-0.22184874961635639</c:v>
                </c:pt>
                <c:pt idx="15">
                  <c:v>-0.3010299956639812</c:v>
                </c:pt>
                <c:pt idx="16">
                  <c:v>-0.3979400086720376</c:v>
                </c:pt>
              </c:numCache>
            </c:numRef>
          </c:xVal>
          <c:yVal>
            <c:numRef>
              <c:f>Sheet1!$O$2:$O$18</c:f>
              <c:numCache>
                <c:formatCode>General</c:formatCode>
                <c:ptCount val="17"/>
                <c:pt idx="0">
                  <c:v>1.469822015978163</c:v>
                </c:pt>
                <c:pt idx="1">
                  <c:v>1.3891660843645324</c:v>
                </c:pt>
                <c:pt idx="2">
                  <c:v>1.2900346113625181</c:v>
                </c:pt>
                <c:pt idx="3">
                  <c:v>1.2041199826559248</c:v>
                </c:pt>
                <c:pt idx="4">
                  <c:v>1.1760912590556813</c:v>
                </c:pt>
                <c:pt idx="5">
                  <c:v>1.146128035678238</c:v>
                </c:pt>
                <c:pt idx="6">
                  <c:v>1.1205739312058498</c:v>
                </c:pt>
                <c:pt idx="7">
                  <c:v>1.1139433523068367</c:v>
                </c:pt>
                <c:pt idx="8">
                  <c:v>1.0704073217401198</c:v>
                </c:pt>
                <c:pt idx="9">
                  <c:v>1.0211892990699381</c:v>
                </c:pt>
                <c:pt idx="10">
                  <c:v>1.0670708560453701</c:v>
                </c:pt>
                <c:pt idx="11">
                  <c:v>1.0655797147284485</c:v>
                </c:pt>
                <c:pt idx="12">
                  <c:v>1.0569048513364727</c:v>
                </c:pt>
                <c:pt idx="13">
                  <c:v>1.0791812460476249</c:v>
                </c:pt>
                <c:pt idx="14">
                  <c:v>1.0791812460476249</c:v>
                </c:pt>
                <c:pt idx="15">
                  <c:v>1.0681858617461617</c:v>
                </c:pt>
                <c:pt idx="16">
                  <c:v>1.0606978403536116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C-4E8B-A7C2-3CDF31940588}"/>
            </c:ext>
          </c:extLst>
        </c:ser>
        <c:ser>
          <c:idx val="1"/>
          <c:order val="1"/>
          <c:tx>
            <c:v>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Sheet1!$N$2:$N$18</c:f>
              <c:numCache>
                <c:formatCode>General</c:formatCode>
                <c:ptCount val="17"/>
                <c:pt idx="0">
                  <c:v>1.3010299956639813</c:v>
                </c:pt>
                <c:pt idx="1">
                  <c:v>1.2041199826559248</c:v>
                </c:pt>
                <c:pt idx="2">
                  <c:v>1.0791812460476249</c:v>
                </c:pt>
                <c:pt idx="3">
                  <c:v>1</c:v>
                </c:pt>
                <c:pt idx="4">
                  <c:v>0.90308998699194354</c:v>
                </c:pt>
                <c:pt idx="5">
                  <c:v>0.77815125038364363</c:v>
                </c:pt>
                <c:pt idx="6">
                  <c:v>0.69897000433601886</c:v>
                </c:pt>
                <c:pt idx="7">
                  <c:v>0.54406804435027567</c:v>
                </c:pt>
                <c:pt idx="8">
                  <c:v>0.3979400086720376</c:v>
                </c:pt>
                <c:pt idx="9">
                  <c:v>0.3010299956639812</c:v>
                </c:pt>
                <c:pt idx="10">
                  <c:v>0.17609125905568124</c:v>
                </c:pt>
                <c:pt idx="11">
                  <c:v>9.691001300805642E-2</c:v>
                </c:pt>
                <c:pt idx="12">
                  <c:v>0</c:v>
                </c:pt>
                <c:pt idx="13">
                  <c:v>-0.12493873660829995</c:v>
                </c:pt>
                <c:pt idx="14">
                  <c:v>-0.22184874961635639</c:v>
                </c:pt>
                <c:pt idx="15">
                  <c:v>-0.3010299956639812</c:v>
                </c:pt>
                <c:pt idx="16">
                  <c:v>-0.3979400086720376</c:v>
                </c:pt>
              </c:numCache>
            </c:numRef>
          </c:xVal>
          <c:yVal>
            <c:numRef>
              <c:f>Sheet1!$P$2:$P$18</c:f>
              <c:numCache>
                <c:formatCode>General</c:formatCode>
                <c:ptCount val="17"/>
                <c:pt idx="0">
                  <c:v>1.4393326938302626</c:v>
                </c:pt>
                <c:pt idx="1">
                  <c:v>1.3617278360175928</c:v>
                </c:pt>
                <c:pt idx="2">
                  <c:v>1.2900346113625181</c:v>
                </c:pt>
                <c:pt idx="3">
                  <c:v>1.2304489213782739</c:v>
                </c:pt>
                <c:pt idx="4">
                  <c:v>1.2174839442139063</c:v>
                </c:pt>
                <c:pt idx="5">
                  <c:v>1.2041199826559248</c:v>
                </c:pt>
                <c:pt idx="6">
                  <c:v>1.1254812657005939</c:v>
                </c:pt>
                <c:pt idx="7">
                  <c:v>1.0827853703164501</c:v>
                </c:pt>
                <c:pt idx="8">
                  <c:v>1.0863598306747482</c:v>
                </c:pt>
                <c:pt idx="9">
                  <c:v>1.0899051114393981</c:v>
                </c:pt>
                <c:pt idx="10">
                  <c:v>1.1238516409670858</c:v>
                </c:pt>
                <c:pt idx="11">
                  <c:v>1.1212314551496214</c:v>
                </c:pt>
                <c:pt idx="12">
                  <c:v>1.1139433523068367</c:v>
                </c:pt>
                <c:pt idx="13">
                  <c:v>1.1139433523068367</c:v>
                </c:pt>
                <c:pt idx="14">
                  <c:v>1.146128035678238</c:v>
                </c:pt>
                <c:pt idx="15">
                  <c:v>1.0569048513364727</c:v>
                </c:pt>
                <c:pt idx="16">
                  <c:v>1.0606978403536116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C-4E8B-A7C2-3CDF31940588}"/>
            </c:ext>
          </c:extLst>
        </c:ser>
        <c:ser>
          <c:idx val="2"/>
          <c:order val="2"/>
          <c:tx>
            <c:v>high voltage linear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Sheet1!$N$2:$N$5</c:f>
              <c:numCache>
                <c:formatCode>General</c:formatCode>
                <c:ptCount val="4"/>
                <c:pt idx="0">
                  <c:v>1.3010299956639813</c:v>
                </c:pt>
                <c:pt idx="1">
                  <c:v>1.2041199826559248</c:v>
                </c:pt>
                <c:pt idx="2">
                  <c:v>1.0791812460476249</c:v>
                </c:pt>
                <c:pt idx="3">
                  <c:v>1</c:v>
                </c:pt>
              </c:numCache>
            </c:numRef>
          </c:xVal>
          <c:yVal>
            <c:numRef>
              <c:f>Sheet1!$O$2:$O$5</c:f>
              <c:numCache>
                <c:formatCode>General</c:formatCode>
                <c:ptCount val="4"/>
                <c:pt idx="0">
                  <c:v>1.469822015978163</c:v>
                </c:pt>
                <c:pt idx="1">
                  <c:v>1.3891660843645324</c:v>
                </c:pt>
                <c:pt idx="2">
                  <c:v>1.2900346113625181</c:v>
                </c:pt>
                <c:pt idx="3">
                  <c:v>1.2041199826559248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1-49A2-8240-E60A6D9A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85855"/>
        <c:axId val="1340115727"/>
      </c:scatterChart>
      <c:valAx>
        <c:axId val="114778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Log(RF voltage/V)</a:t>
                </a:r>
              </a:p>
            </c:rich>
          </c:tx>
          <c:layout>
            <c:manualLayout>
              <c:xMode val="edge"/>
              <c:yMode val="edge"/>
              <c:x val="0.44276037562780896"/>
              <c:y val="0.85772425720485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115727"/>
        <c:crosses val="autoZero"/>
        <c:crossBetween val="midCat"/>
      </c:valAx>
      <c:valAx>
        <c:axId val="13401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Log(half</a:t>
                </a:r>
                <a:r>
                  <a:rPr lang="en-GB" altLang="zh-CN" baseline="0"/>
                  <a:t> peak width/mv)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78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7575526110165596"/>
          <c:y val="0.458616772265866"/>
          <c:w val="0.30754335073243916"/>
          <c:h val="0.46986111198682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Peak</a:t>
            </a:r>
            <a:r>
              <a:rPr lang="en-GB" altLang="zh-CN" baseline="0"/>
              <a:t> depth and RF voltage </a:t>
            </a:r>
          </a:p>
          <a:p>
            <a:pPr>
              <a:defRPr/>
            </a:pPr>
            <a:r>
              <a:rPr lang="en-GB" altLang="zh-CN" baseline="0"/>
              <a:t>log vs log plot</a:t>
            </a:r>
            <a:endParaRPr lang="en-GB" altLang="zh-CN"/>
          </a:p>
        </c:rich>
      </c:tx>
      <c:layout>
        <c:manualLayout>
          <c:xMode val="edge"/>
          <c:yMode val="edge"/>
          <c:x val="0.28798272040065787"/>
          <c:y val="8.18466670361581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604111986001749E-2"/>
          <c:y val="7.407407407407407E-2"/>
          <c:w val="0.91290988626421699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v>87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Sheet1!$N$2:$N$22</c:f>
              <c:numCache>
                <c:formatCode>General</c:formatCode>
                <c:ptCount val="21"/>
                <c:pt idx="0">
                  <c:v>1.3010299956639813</c:v>
                </c:pt>
                <c:pt idx="1">
                  <c:v>1.2041199826559248</c:v>
                </c:pt>
                <c:pt idx="2">
                  <c:v>1.0791812460476249</c:v>
                </c:pt>
                <c:pt idx="3">
                  <c:v>1</c:v>
                </c:pt>
                <c:pt idx="4">
                  <c:v>0.90308998699194354</c:v>
                </c:pt>
                <c:pt idx="5">
                  <c:v>0.77815125038364363</c:v>
                </c:pt>
                <c:pt idx="6">
                  <c:v>0.69897000433601886</c:v>
                </c:pt>
                <c:pt idx="7">
                  <c:v>0.54406804435027567</c:v>
                </c:pt>
                <c:pt idx="8">
                  <c:v>0.3979400086720376</c:v>
                </c:pt>
                <c:pt idx="9">
                  <c:v>0.3010299956639812</c:v>
                </c:pt>
                <c:pt idx="10">
                  <c:v>0.17609125905568124</c:v>
                </c:pt>
                <c:pt idx="11">
                  <c:v>9.691001300805642E-2</c:v>
                </c:pt>
                <c:pt idx="12">
                  <c:v>0</c:v>
                </c:pt>
                <c:pt idx="13">
                  <c:v>-0.12493873660829995</c:v>
                </c:pt>
                <c:pt idx="14">
                  <c:v>-0.22184874961635639</c:v>
                </c:pt>
                <c:pt idx="15">
                  <c:v>-0.3010299956639812</c:v>
                </c:pt>
                <c:pt idx="16">
                  <c:v>-0.3979400086720376</c:v>
                </c:pt>
                <c:pt idx="17">
                  <c:v>-0.45593195564972439</c:v>
                </c:pt>
                <c:pt idx="18">
                  <c:v>-0.52287874528033762</c:v>
                </c:pt>
                <c:pt idx="19">
                  <c:v>-0.6020599913279624</c:v>
                </c:pt>
                <c:pt idx="20">
                  <c:v>-0.69897000433601875</c:v>
                </c:pt>
              </c:numCache>
            </c:numRef>
          </c:xVal>
          <c:yVal>
            <c:numRef>
              <c:f>Sheet1!$Q$2:$Q$22</c:f>
              <c:numCache>
                <c:formatCode>General</c:formatCode>
                <c:ptCount val="21"/>
                <c:pt idx="0">
                  <c:v>2.1038037209559568</c:v>
                </c:pt>
                <c:pt idx="1">
                  <c:v>2.1038037209559568</c:v>
                </c:pt>
                <c:pt idx="2">
                  <c:v>2.0934216851622351</c:v>
                </c:pt>
                <c:pt idx="3">
                  <c:v>2.1003705451175629</c:v>
                </c:pt>
                <c:pt idx="4">
                  <c:v>2.1003705451175629</c:v>
                </c:pt>
                <c:pt idx="5">
                  <c:v>2.0791812460476247</c:v>
                </c:pt>
                <c:pt idx="6">
                  <c:v>2.0827853703164503</c:v>
                </c:pt>
                <c:pt idx="7">
                  <c:v>2.0791812460476247</c:v>
                </c:pt>
                <c:pt idx="8">
                  <c:v>2.0681858617461617</c:v>
                </c:pt>
                <c:pt idx="9">
                  <c:v>2.0681858617461617</c:v>
                </c:pt>
                <c:pt idx="10">
                  <c:v>2.0492180226701815</c:v>
                </c:pt>
                <c:pt idx="11">
                  <c:v>2.0334237554869499</c:v>
                </c:pt>
                <c:pt idx="12">
                  <c:v>2.012837224705172</c:v>
                </c:pt>
                <c:pt idx="13">
                  <c:v>1.9867717342662448</c:v>
                </c:pt>
                <c:pt idx="14">
                  <c:v>1.9138138523837167</c:v>
                </c:pt>
                <c:pt idx="15">
                  <c:v>1.8692317197309762</c:v>
                </c:pt>
                <c:pt idx="16">
                  <c:v>1.7160033436347992</c:v>
                </c:pt>
                <c:pt idx="17">
                  <c:v>1.5910646070264991</c:v>
                </c:pt>
                <c:pt idx="18">
                  <c:v>1.4913616938342726</c:v>
                </c:pt>
                <c:pt idx="19">
                  <c:v>1.3324384599156054</c:v>
                </c:pt>
                <c:pt idx="20">
                  <c:v>1.146128035678238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7-48EA-B6AA-19856D5F4F59}"/>
            </c:ext>
          </c:extLst>
        </c:ser>
        <c:ser>
          <c:idx val="1"/>
          <c:order val="1"/>
          <c:tx>
            <c:v>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Sheet1!$N$2:$N$22</c:f>
              <c:numCache>
                <c:formatCode>General</c:formatCode>
                <c:ptCount val="21"/>
                <c:pt idx="0">
                  <c:v>1.3010299956639813</c:v>
                </c:pt>
                <c:pt idx="1">
                  <c:v>1.2041199826559248</c:v>
                </c:pt>
                <c:pt idx="2">
                  <c:v>1.0791812460476249</c:v>
                </c:pt>
                <c:pt idx="3">
                  <c:v>1</c:v>
                </c:pt>
                <c:pt idx="4">
                  <c:v>0.90308998699194354</c:v>
                </c:pt>
                <c:pt idx="5">
                  <c:v>0.77815125038364363</c:v>
                </c:pt>
                <c:pt idx="6">
                  <c:v>0.69897000433601886</c:v>
                </c:pt>
                <c:pt idx="7">
                  <c:v>0.54406804435027567</c:v>
                </c:pt>
                <c:pt idx="8">
                  <c:v>0.3979400086720376</c:v>
                </c:pt>
                <c:pt idx="9">
                  <c:v>0.3010299956639812</c:v>
                </c:pt>
                <c:pt idx="10">
                  <c:v>0.17609125905568124</c:v>
                </c:pt>
                <c:pt idx="11">
                  <c:v>9.691001300805642E-2</c:v>
                </c:pt>
                <c:pt idx="12">
                  <c:v>0</c:v>
                </c:pt>
                <c:pt idx="13">
                  <c:v>-0.12493873660829995</c:v>
                </c:pt>
                <c:pt idx="14">
                  <c:v>-0.22184874961635639</c:v>
                </c:pt>
                <c:pt idx="15">
                  <c:v>-0.3010299956639812</c:v>
                </c:pt>
                <c:pt idx="16">
                  <c:v>-0.3979400086720376</c:v>
                </c:pt>
                <c:pt idx="17">
                  <c:v>-0.45593195564972439</c:v>
                </c:pt>
                <c:pt idx="18">
                  <c:v>-0.52287874528033762</c:v>
                </c:pt>
                <c:pt idx="19">
                  <c:v>-0.6020599913279624</c:v>
                </c:pt>
                <c:pt idx="20">
                  <c:v>-0.69897000433601875</c:v>
                </c:pt>
              </c:numCache>
            </c:numRef>
          </c:xVal>
          <c:yVal>
            <c:numRef>
              <c:f>Sheet1!$R$2:$R$22</c:f>
              <c:numCache>
                <c:formatCode>General</c:formatCode>
                <c:ptCount val="21"/>
                <c:pt idx="0">
                  <c:v>2.4814426285023048</c:v>
                </c:pt>
                <c:pt idx="1">
                  <c:v>2.4800069429571505</c:v>
                </c:pt>
                <c:pt idx="2">
                  <c:v>2.4771212547196626</c:v>
                </c:pt>
                <c:pt idx="3">
                  <c:v>2.4785664955938436</c:v>
                </c:pt>
                <c:pt idx="4">
                  <c:v>2.4727564493172123</c:v>
                </c:pt>
                <c:pt idx="5">
                  <c:v>2.4623979978989561</c:v>
                </c:pt>
                <c:pt idx="6">
                  <c:v>2.4548448600085102</c:v>
                </c:pt>
                <c:pt idx="7">
                  <c:v>2.449478399187365</c:v>
                </c:pt>
                <c:pt idx="8">
                  <c:v>2.4313637641589874</c:v>
                </c:pt>
                <c:pt idx="9">
                  <c:v>2.4116197059632301</c:v>
                </c:pt>
                <c:pt idx="10">
                  <c:v>2.3891660843645326</c:v>
                </c:pt>
                <c:pt idx="11">
                  <c:v>2.368286884902131</c:v>
                </c:pt>
                <c:pt idx="12">
                  <c:v>2.3159703454569178</c:v>
                </c:pt>
                <c:pt idx="13">
                  <c:v>2.2355284469075487</c:v>
                </c:pt>
                <c:pt idx="14">
                  <c:v>2.1461280356782382</c:v>
                </c:pt>
                <c:pt idx="15">
                  <c:v>2.0606978403536118</c:v>
                </c:pt>
                <c:pt idx="16">
                  <c:v>1.9030899869919435</c:v>
                </c:pt>
                <c:pt idx="17">
                  <c:v>1.8195439355418688</c:v>
                </c:pt>
                <c:pt idx="18">
                  <c:v>1.6434526764861874</c:v>
                </c:pt>
                <c:pt idx="19">
                  <c:v>1.4771212547196624</c:v>
                </c:pt>
                <c:pt idx="20">
                  <c:v>1.3324384599156054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7-48EA-B6AA-19856D5F4F59}"/>
            </c:ext>
          </c:extLst>
        </c:ser>
        <c:ser>
          <c:idx val="2"/>
          <c:order val="2"/>
          <c:tx>
            <c:v>87 linear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548756296495748E-2"/>
                  <c:y val="0.353893247120139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Sheet1!$N$17:$N$22</c:f>
              <c:numCache>
                <c:formatCode>General</c:formatCode>
                <c:ptCount val="6"/>
                <c:pt idx="0">
                  <c:v>-0.3010299956639812</c:v>
                </c:pt>
                <c:pt idx="1">
                  <c:v>-0.3979400086720376</c:v>
                </c:pt>
                <c:pt idx="2">
                  <c:v>-0.45593195564972439</c:v>
                </c:pt>
                <c:pt idx="3">
                  <c:v>-0.52287874528033762</c:v>
                </c:pt>
                <c:pt idx="4">
                  <c:v>-0.6020599913279624</c:v>
                </c:pt>
                <c:pt idx="5">
                  <c:v>-0.69897000433601875</c:v>
                </c:pt>
              </c:numCache>
            </c:numRef>
          </c:xVal>
          <c:yVal>
            <c:numRef>
              <c:f>Sheet1!$Q$17:$Q$22</c:f>
              <c:numCache>
                <c:formatCode>General</c:formatCode>
                <c:ptCount val="6"/>
                <c:pt idx="0">
                  <c:v>1.8692317197309762</c:v>
                </c:pt>
                <c:pt idx="1">
                  <c:v>1.7160033436347992</c:v>
                </c:pt>
                <c:pt idx="2">
                  <c:v>1.5910646070264991</c:v>
                </c:pt>
                <c:pt idx="3">
                  <c:v>1.4913616938342726</c:v>
                </c:pt>
                <c:pt idx="4">
                  <c:v>1.3324384599156054</c:v>
                </c:pt>
                <c:pt idx="5">
                  <c:v>1.146128035678238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74-4409-A9EB-FA41B0F20C32}"/>
            </c:ext>
          </c:extLst>
        </c:ser>
        <c:ser>
          <c:idx val="3"/>
          <c:order val="3"/>
          <c:tx>
            <c:v>85 linear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303034982585599E-3"/>
                  <c:y val="4.84143866955392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Sheet1!$N$17:$N$22</c:f>
              <c:numCache>
                <c:formatCode>General</c:formatCode>
                <c:ptCount val="6"/>
                <c:pt idx="0">
                  <c:v>-0.3010299956639812</c:v>
                </c:pt>
                <c:pt idx="1">
                  <c:v>-0.3979400086720376</c:v>
                </c:pt>
                <c:pt idx="2">
                  <c:v>-0.45593195564972439</c:v>
                </c:pt>
                <c:pt idx="3">
                  <c:v>-0.52287874528033762</c:v>
                </c:pt>
                <c:pt idx="4">
                  <c:v>-0.6020599913279624</c:v>
                </c:pt>
                <c:pt idx="5">
                  <c:v>-0.69897000433601875</c:v>
                </c:pt>
              </c:numCache>
            </c:numRef>
          </c:xVal>
          <c:yVal>
            <c:numRef>
              <c:f>Sheet1!$R$17:$R$22</c:f>
              <c:numCache>
                <c:formatCode>General</c:formatCode>
                <c:ptCount val="6"/>
                <c:pt idx="0">
                  <c:v>2.0606978403536118</c:v>
                </c:pt>
                <c:pt idx="1">
                  <c:v>1.9030899869919435</c:v>
                </c:pt>
                <c:pt idx="2">
                  <c:v>1.8195439355418688</c:v>
                </c:pt>
                <c:pt idx="3">
                  <c:v>1.6434526764861874</c:v>
                </c:pt>
                <c:pt idx="4">
                  <c:v>1.4771212547196624</c:v>
                </c:pt>
                <c:pt idx="5">
                  <c:v>1.3324384599156054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74-4409-A9EB-FA41B0F2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80575"/>
        <c:axId val="1340067119"/>
      </c:scatterChart>
      <c:valAx>
        <c:axId val="114778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Log(RF</a:t>
                </a:r>
                <a:r>
                  <a:rPr lang="en-GB" altLang="zh-CN" baseline="0"/>
                  <a:t> voltage/V)</a:t>
                </a:r>
                <a:endParaRPr lang="en-GB" altLang="zh-CN"/>
              </a:p>
            </c:rich>
          </c:tx>
          <c:layout>
            <c:manualLayout>
              <c:xMode val="edge"/>
              <c:yMode val="edge"/>
              <c:x val="0.40514865202191225"/>
              <c:y val="0.8886679100485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067119"/>
        <c:crosses val="autoZero"/>
        <c:crossBetween val="midCat"/>
      </c:valAx>
      <c:valAx>
        <c:axId val="134006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Log(peak</a:t>
                </a:r>
                <a:r>
                  <a:rPr lang="en-GB" altLang="zh-CN" baseline="0"/>
                  <a:t> depth/mv)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78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0562606704170705"/>
          <c:y val="0.45462275730043999"/>
          <c:w val="0.13321304301964945"/>
          <c:h val="0.27563562142254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208358</xdr:colOff>
      <xdr:row>26</xdr:row>
      <xdr:rowOff>113706</xdr:rowOff>
    </xdr:from>
    <xdr:to>
      <xdr:col>9</xdr:col>
      <xdr:colOff>238123</xdr:colOff>
      <xdr:row>41</xdr:row>
      <xdr:rowOff>177999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0842A-80F1-5DAE-27F0-6A6A5B2E3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291703</xdr:colOff>
      <xdr:row>24</xdr:row>
      <xdr:rowOff>133351</xdr:rowOff>
    </xdr:from>
    <xdr:to>
      <xdr:col>17</xdr:col>
      <xdr:colOff>78580</xdr:colOff>
      <xdr:row>42</xdr:row>
      <xdr:rowOff>64890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78F5CE-D4D7-0127-CAA5-7B870EFCE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21" zoomScale="89" zoomScaleNormal="100" workbookViewId="0">
      <selection activeCell="J24" sqref="J24"/>
    </sheetView>
  </sheetViews>
  <sheetFormatPr defaultRowHeight="13.9" x14ac:dyDescent="0.4"/>
  <cols>
    <col min="17" max="17" width="12.3984375" bestFit="1" customWidth="1"/>
  </cols>
  <sheetData>
    <row r="1" spans="1:18" x14ac:dyDescent="0.4">
      <c r="A1" t="s">
        <v>0</v>
      </c>
      <c r="B1" t="s">
        <v>1</v>
      </c>
      <c r="C1" t="s">
        <v>3</v>
      </c>
      <c r="D1" t="s">
        <v>2</v>
      </c>
      <c r="F1" t="s">
        <v>4</v>
      </c>
      <c r="H1" t="s">
        <v>5</v>
      </c>
      <c r="I1" t="s">
        <v>3</v>
      </c>
      <c r="K1" t="s">
        <v>6</v>
      </c>
      <c r="L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">
      <c r="A2">
        <v>20</v>
      </c>
      <c r="B2">
        <v>127</v>
      </c>
      <c r="C2">
        <v>2</v>
      </c>
      <c r="D2">
        <v>303</v>
      </c>
      <c r="E2">
        <v>4</v>
      </c>
      <c r="F2">
        <v>29.5</v>
      </c>
      <c r="G2">
        <v>2</v>
      </c>
      <c r="H2">
        <v>27.5</v>
      </c>
      <c r="I2">
        <v>1</v>
      </c>
      <c r="K2">
        <f t="shared" ref="K2:K15" si="0">1/3*139961233.9*8.991*0.001*11*0.0001/0.1639*F2*0.001</f>
        <v>83.048205576844637</v>
      </c>
      <c r="L2">
        <f t="shared" ref="L2:L15" si="1">1/2*139961233.9*8.991*0.001*11*0.0001/0.1639*H2*0.001</f>
        <v>116.12672813711328</v>
      </c>
      <c r="N2">
        <f t="shared" ref="N2:N15" si="2">LOG10(A2)</f>
        <v>1.3010299956639813</v>
      </c>
      <c r="O2">
        <f t="shared" ref="O2:O15" si="3">LOG10(F2)</f>
        <v>1.469822015978163</v>
      </c>
      <c r="P2">
        <f t="shared" ref="P2:P15" si="4">LOG10(H2)</f>
        <v>1.4393326938302626</v>
      </c>
      <c r="Q2">
        <f t="shared" ref="Q2:Q15" si="5">LOG10(B2)</f>
        <v>2.1038037209559568</v>
      </c>
      <c r="R2">
        <f t="shared" ref="R2:R15" si="6">LOG10(D2)</f>
        <v>2.4814426285023048</v>
      </c>
    </row>
    <row r="3" spans="1:18" x14ac:dyDescent="0.4">
      <c r="A3">
        <v>16</v>
      </c>
      <c r="B3">
        <v>127</v>
      </c>
      <c r="C3">
        <v>2</v>
      </c>
      <c r="D3">
        <v>302</v>
      </c>
      <c r="E3">
        <v>6</v>
      </c>
      <c r="F3">
        <v>24.5</v>
      </c>
      <c r="G3">
        <v>1</v>
      </c>
      <c r="H3">
        <v>23</v>
      </c>
      <c r="I3">
        <v>1</v>
      </c>
      <c r="K3">
        <f t="shared" si="0"/>
        <v>68.97223852992181</v>
      </c>
      <c r="L3">
        <f t="shared" si="1"/>
        <v>97.124172623767464</v>
      </c>
      <c r="N3">
        <f t="shared" si="2"/>
        <v>1.2041199826559248</v>
      </c>
      <c r="O3">
        <f t="shared" si="3"/>
        <v>1.3891660843645324</v>
      </c>
      <c r="P3">
        <f t="shared" si="4"/>
        <v>1.3617278360175928</v>
      </c>
      <c r="Q3">
        <f t="shared" si="5"/>
        <v>2.1038037209559568</v>
      </c>
      <c r="R3">
        <f t="shared" si="6"/>
        <v>2.4800069429571505</v>
      </c>
    </row>
    <row r="4" spans="1:18" x14ac:dyDescent="0.4">
      <c r="A4">
        <v>12</v>
      </c>
      <c r="B4">
        <v>124</v>
      </c>
      <c r="C4">
        <v>2</v>
      </c>
      <c r="D4">
        <v>300</v>
      </c>
      <c r="E4">
        <v>5</v>
      </c>
      <c r="F4">
        <v>19.5</v>
      </c>
      <c r="G4">
        <v>1</v>
      </c>
      <c r="H4">
        <v>19.5</v>
      </c>
      <c r="I4">
        <v>1</v>
      </c>
      <c r="K4">
        <f t="shared" si="0"/>
        <v>54.896271482998991</v>
      </c>
      <c r="L4">
        <f t="shared" si="1"/>
        <v>82.344407224498497</v>
      </c>
      <c r="N4">
        <f t="shared" si="2"/>
        <v>1.0791812460476249</v>
      </c>
      <c r="O4">
        <f t="shared" si="3"/>
        <v>1.2900346113625181</v>
      </c>
      <c r="P4">
        <f t="shared" si="4"/>
        <v>1.2900346113625181</v>
      </c>
      <c r="Q4">
        <f t="shared" si="5"/>
        <v>2.0934216851622351</v>
      </c>
      <c r="R4">
        <f t="shared" si="6"/>
        <v>2.4771212547196626</v>
      </c>
    </row>
    <row r="5" spans="1:18" x14ac:dyDescent="0.4">
      <c r="A5">
        <v>10</v>
      </c>
      <c r="B5">
        <v>126</v>
      </c>
      <c r="C5">
        <v>2</v>
      </c>
      <c r="D5">
        <v>301</v>
      </c>
      <c r="E5">
        <v>2</v>
      </c>
      <c r="F5">
        <v>16</v>
      </c>
      <c r="G5">
        <v>1</v>
      </c>
      <c r="H5">
        <v>17</v>
      </c>
      <c r="I5">
        <v>1</v>
      </c>
      <c r="K5">
        <f t="shared" si="0"/>
        <v>45.043094550153022</v>
      </c>
      <c r="L5">
        <f t="shared" si="1"/>
        <v>71.787431939306387</v>
      </c>
      <c r="N5">
        <f t="shared" si="2"/>
        <v>1</v>
      </c>
      <c r="O5">
        <f t="shared" si="3"/>
        <v>1.2041199826559248</v>
      </c>
      <c r="P5">
        <f t="shared" si="4"/>
        <v>1.2304489213782739</v>
      </c>
      <c r="Q5">
        <f t="shared" si="5"/>
        <v>2.1003705451175629</v>
      </c>
      <c r="R5">
        <f t="shared" si="6"/>
        <v>2.4785664955938436</v>
      </c>
    </row>
    <row r="6" spans="1:18" x14ac:dyDescent="0.4">
      <c r="A6">
        <v>8</v>
      </c>
      <c r="B6">
        <v>126</v>
      </c>
      <c r="C6">
        <v>2</v>
      </c>
      <c r="D6">
        <v>297</v>
      </c>
      <c r="E6">
        <v>5</v>
      </c>
      <c r="F6">
        <v>15</v>
      </c>
      <c r="G6">
        <v>1</v>
      </c>
      <c r="H6">
        <v>16.5</v>
      </c>
      <c r="I6">
        <v>1</v>
      </c>
      <c r="K6">
        <f t="shared" si="0"/>
        <v>42.227901140768459</v>
      </c>
      <c r="L6">
        <f t="shared" si="1"/>
        <v>69.676036882267965</v>
      </c>
      <c r="N6">
        <f t="shared" si="2"/>
        <v>0.90308998699194354</v>
      </c>
      <c r="O6">
        <f t="shared" si="3"/>
        <v>1.1760912590556813</v>
      </c>
      <c r="P6">
        <f t="shared" si="4"/>
        <v>1.2174839442139063</v>
      </c>
      <c r="Q6">
        <f t="shared" si="5"/>
        <v>2.1003705451175629</v>
      </c>
      <c r="R6">
        <f t="shared" si="6"/>
        <v>2.4727564493172123</v>
      </c>
    </row>
    <row r="7" spans="1:18" x14ac:dyDescent="0.4">
      <c r="A7">
        <v>6</v>
      </c>
      <c r="B7">
        <v>120</v>
      </c>
      <c r="C7">
        <v>5</v>
      </c>
      <c r="D7">
        <v>290</v>
      </c>
      <c r="E7">
        <v>5</v>
      </c>
      <c r="F7">
        <v>14</v>
      </c>
      <c r="G7">
        <v>2</v>
      </c>
      <c r="H7">
        <v>16</v>
      </c>
      <c r="I7">
        <v>2</v>
      </c>
      <c r="K7">
        <f t="shared" si="0"/>
        <v>39.412707731383897</v>
      </c>
      <c r="L7">
        <f t="shared" si="1"/>
        <v>67.564641825229543</v>
      </c>
      <c r="N7">
        <f t="shared" si="2"/>
        <v>0.77815125038364363</v>
      </c>
      <c r="O7">
        <f t="shared" si="3"/>
        <v>1.146128035678238</v>
      </c>
      <c r="P7">
        <f t="shared" si="4"/>
        <v>1.2041199826559248</v>
      </c>
      <c r="Q7">
        <f t="shared" si="5"/>
        <v>2.0791812460476247</v>
      </c>
      <c r="R7">
        <f t="shared" si="6"/>
        <v>2.4623979978989561</v>
      </c>
    </row>
    <row r="8" spans="1:18" x14ac:dyDescent="0.4">
      <c r="A8">
        <v>5</v>
      </c>
      <c r="B8">
        <v>121</v>
      </c>
      <c r="C8">
        <v>4</v>
      </c>
      <c r="D8">
        <v>285</v>
      </c>
      <c r="E8">
        <v>5</v>
      </c>
      <c r="F8">
        <v>13.2</v>
      </c>
      <c r="G8">
        <v>0.4</v>
      </c>
      <c r="H8">
        <v>13.35</v>
      </c>
      <c r="I8">
        <v>0.2</v>
      </c>
      <c r="K8">
        <f t="shared" si="0"/>
        <v>37.160553003876245</v>
      </c>
      <c r="L8">
        <f t="shared" si="1"/>
        <v>56.374248022925897</v>
      </c>
      <c r="N8">
        <f t="shared" si="2"/>
        <v>0.69897000433601886</v>
      </c>
      <c r="O8">
        <f t="shared" si="3"/>
        <v>1.1205739312058498</v>
      </c>
      <c r="P8">
        <f t="shared" si="4"/>
        <v>1.1254812657005939</v>
      </c>
      <c r="Q8">
        <f t="shared" si="5"/>
        <v>2.0827853703164503</v>
      </c>
      <c r="R8">
        <f t="shared" si="6"/>
        <v>2.4548448600085102</v>
      </c>
    </row>
    <row r="9" spans="1:18" x14ac:dyDescent="0.4">
      <c r="A9">
        <v>3.5</v>
      </c>
      <c r="B9">
        <v>120</v>
      </c>
      <c r="C9">
        <v>1</v>
      </c>
      <c r="D9">
        <v>281.5</v>
      </c>
      <c r="E9">
        <v>3</v>
      </c>
      <c r="F9">
        <v>13</v>
      </c>
      <c r="G9">
        <v>1.5</v>
      </c>
      <c r="H9">
        <v>12.1</v>
      </c>
      <c r="I9">
        <v>0.2</v>
      </c>
      <c r="K9">
        <f t="shared" si="0"/>
        <v>36.597514321999334</v>
      </c>
      <c r="L9">
        <f t="shared" si="1"/>
        <v>51.095760380329843</v>
      </c>
      <c r="N9">
        <f t="shared" si="2"/>
        <v>0.54406804435027567</v>
      </c>
      <c r="O9">
        <f t="shared" si="3"/>
        <v>1.1139433523068367</v>
      </c>
      <c r="P9">
        <f t="shared" si="4"/>
        <v>1.0827853703164501</v>
      </c>
      <c r="Q9">
        <f t="shared" si="5"/>
        <v>2.0791812460476247</v>
      </c>
      <c r="R9">
        <f t="shared" si="6"/>
        <v>2.449478399187365</v>
      </c>
    </row>
    <row r="10" spans="1:18" x14ac:dyDescent="0.4">
      <c r="A10">
        <v>2.5</v>
      </c>
      <c r="B10">
        <v>117</v>
      </c>
      <c r="C10">
        <v>3</v>
      </c>
      <c r="D10">
        <v>270</v>
      </c>
      <c r="E10">
        <v>6</v>
      </c>
      <c r="F10">
        <v>11.76</v>
      </c>
      <c r="G10">
        <v>0.5</v>
      </c>
      <c r="H10">
        <v>12.2</v>
      </c>
      <c r="I10">
        <v>0.2</v>
      </c>
      <c r="K10">
        <f t="shared" si="0"/>
        <v>33.106674494362473</v>
      </c>
      <c r="L10">
        <f t="shared" si="1"/>
        <v>51.518039391737517</v>
      </c>
      <c r="N10">
        <f t="shared" si="2"/>
        <v>0.3979400086720376</v>
      </c>
      <c r="O10">
        <f t="shared" si="3"/>
        <v>1.0704073217401198</v>
      </c>
      <c r="P10">
        <f t="shared" si="4"/>
        <v>1.0863598306747482</v>
      </c>
      <c r="Q10">
        <f t="shared" si="5"/>
        <v>2.0681858617461617</v>
      </c>
      <c r="R10">
        <f t="shared" si="6"/>
        <v>2.4313637641589874</v>
      </c>
    </row>
    <row r="11" spans="1:18" x14ac:dyDescent="0.4">
      <c r="A11">
        <v>2</v>
      </c>
      <c r="B11">
        <v>117</v>
      </c>
      <c r="C11">
        <v>2</v>
      </c>
      <c r="D11">
        <v>258</v>
      </c>
      <c r="E11">
        <v>5</v>
      </c>
      <c r="F11">
        <v>10.5</v>
      </c>
      <c r="G11">
        <v>1</v>
      </c>
      <c r="H11">
        <v>12.3</v>
      </c>
      <c r="I11">
        <v>0.5</v>
      </c>
      <c r="K11">
        <f t="shared" si="0"/>
        <v>29.559530798537924</v>
      </c>
      <c r="L11">
        <f t="shared" si="1"/>
        <v>51.940318403145213</v>
      </c>
      <c r="N11">
        <f t="shared" si="2"/>
        <v>0.3010299956639812</v>
      </c>
      <c r="O11">
        <f t="shared" si="3"/>
        <v>1.0211892990699381</v>
      </c>
      <c r="P11">
        <f t="shared" si="4"/>
        <v>1.0899051114393981</v>
      </c>
      <c r="Q11">
        <f t="shared" si="5"/>
        <v>2.0681858617461617</v>
      </c>
      <c r="R11">
        <f t="shared" si="6"/>
        <v>2.4116197059632301</v>
      </c>
    </row>
    <row r="12" spans="1:18" x14ac:dyDescent="0.4">
      <c r="A12">
        <v>1.5</v>
      </c>
      <c r="B12">
        <v>112</v>
      </c>
      <c r="C12">
        <v>5</v>
      </c>
      <c r="D12">
        <v>245</v>
      </c>
      <c r="E12">
        <v>5</v>
      </c>
      <c r="F12">
        <v>11.67</v>
      </c>
      <c r="G12">
        <v>0.5</v>
      </c>
      <c r="H12">
        <v>13.3</v>
      </c>
      <c r="I12">
        <v>0.4</v>
      </c>
      <c r="K12">
        <f t="shared" si="0"/>
        <v>32.853307087517862</v>
      </c>
      <c r="L12">
        <f t="shared" si="1"/>
        <v>56.163108517222057</v>
      </c>
      <c r="N12">
        <f t="shared" si="2"/>
        <v>0.17609125905568124</v>
      </c>
      <c r="O12">
        <f t="shared" si="3"/>
        <v>1.0670708560453701</v>
      </c>
      <c r="P12">
        <f t="shared" si="4"/>
        <v>1.1238516409670858</v>
      </c>
      <c r="Q12">
        <f t="shared" si="5"/>
        <v>2.0492180226701815</v>
      </c>
      <c r="R12">
        <f t="shared" si="6"/>
        <v>2.3891660843645326</v>
      </c>
    </row>
    <row r="13" spans="1:18" x14ac:dyDescent="0.4">
      <c r="A13">
        <v>1.25</v>
      </c>
      <c r="B13">
        <v>108</v>
      </c>
      <c r="C13">
        <v>5</v>
      </c>
      <c r="D13">
        <v>233.5</v>
      </c>
      <c r="E13">
        <v>5</v>
      </c>
      <c r="F13">
        <v>11.63</v>
      </c>
      <c r="G13">
        <v>0.5</v>
      </c>
      <c r="H13">
        <v>13.22</v>
      </c>
      <c r="I13">
        <v>0.5</v>
      </c>
      <c r="K13">
        <f t="shared" si="0"/>
        <v>32.740699351142482</v>
      </c>
      <c r="L13">
        <f t="shared" si="1"/>
        <v>55.825285308095914</v>
      </c>
      <c r="N13">
        <f t="shared" si="2"/>
        <v>9.691001300805642E-2</v>
      </c>
      <c r="O13">
        <f t="shared" si="3"/>
        <v>1.0655797147284485</v>
      </c>
      <c r="P13">
        <f t="shared" si="4"/>
        <v>1.1212314551496214</v>
      </c>
      <c r="Q13">
        <f t="shared" si="5"/>
        <v>2.0334237554869499</v>
      </c>
      <c r="R13">
        <f t="shared" si="6"/>
        <v>2.368286884902131</v>
      </c>
    </row>
    <row r="14" spans="1:18" x14ac:dyDescent="0.4">
      <c r="A14">
        <v>1</v>
      </c>
      <c r="B14">
        <v>103</v>
      </c>
      <c r="C14">
        <v>4</v>
      </c>
      <c r="D14">
        <v>207</v>
      </c>
      <c r="E14">
        <v>1</v>
      </c>
      <c r="F14">
        <v>11.4</v>
      </c>
      <c r="G14">
        <v>0.2</v>
      </c>
      <c r="H14">
        <v>13</v>
      </c>
      <c r="I14">
        <v>0.5</v>
      </c>
      <c r="K14">
        <f t="shared" si="0"/>
        <v>32.093204866984031</v>
      </c>
      <c r="L14">
        <f t="shared" si="1"/>
        <v>54.896271482998998</v>
      </c>
      <c r="N14">
        <f t="shared" si="2"/>
        <v>0</v>
      </c>
      <c r="O14">
        <f t="shared" si="3"/>
        <v>1.0569048513364727</v>
      </c>
      <c r="P14">
        <f t="shared" si="4"/>
        <v>1.1139433523068367</v>
      </c>
      <c r="Q14">
        <f t="shared" si="5"/>
        <v>2.012837224705172</v>
      </c>
      <c r="R14">
        <f t="shared" si="6"/>
        <v>2.3159703454569178</v>
      </c>
    </row>
    <row r="15" spans="1:18" x14ac:dyDescent="0.4">
      <c r="A15">
        <v>0.75</v>
      </c>
      <c r="B15">
        <v>97</v>
      </c>
      <c r="C15">
        <v>5</v>
      </c>
      <c r="D15">
        <v>172</v>
      </c>
      <c r="E15">
        <v>6</v>
      </c>
      <c r="F15">
        <v>12</v>
      </c>
      <c r="G15">
        <v>0.8</v>
      </c>
      <c r="H15">
        <v>13</v>
      </c>
      <c r="I15">
        <v>0.3</v>
      </c>
      <c r="K15">
        <f t="shared" si="0"/>
        <v>33.782320912614772</v>
      </c>
      <c r="L15">
        <f t="shared" si="1"/>
        <v>54.896271482998998</v>
      </c>
      <c r="N15">
        <f t="shared" si="2"/>
        <v>-0.12493873660829995</v>
      </c>
      <c r="O15">
        <f t="shared" si="3"/>
        <v>1.0791812460476249</v>
      </c>
      <c r="P15">
        <f t="shared" si="4"/>
        <v>1.1139433523068367</v>
      </c>
      <c r="Q15">
        <f t="shared" si="5"/>
        <v>1.9867717342662448</v>
      </c>
      <c r="R15">
        <f t="shared" si="6"/>
        <v>2.2355284469075487</v>
      </c>
    </row>
    <row r="16" spans="1:18" x14ac:dyDescent="0.4">
      <c r="A16">
        <v>0.6</v>
      </c>
      <c r="B16">
        <v>82</v>
      </c>
      <c r="C16">
        <v>5</v>
      </c>
      <c r="D16">
        <v>140</v>
      </c>
      <c r="E16">
        <v>7</v>
      </c>
      <c r="F16">
        <v>12</v>
      </c>
      <c r="G16">
        <v>1</v>
      </c>
      <c r="H16">
        <v>14</v>
      </c>
      <c r="I16">
        <v>1</v>
      </c>
      <c r="K16">
        <f>1/3*139961233.9*8.991*0.001*11*0.0001/0.1639*F16*0.001</f>
        <v>33.782320912614772</v>
      </c>
      <c r="L16">
        <f>1/2*139961233.9*8.991*0.001*11*0.0001/0.1639*H16*0.001</f>
        <v>59.119061597075856</v>
      </c>
      <c r="N16">
        <f t="shared" ref="N16:N22" si="7">LOG10(A16)</f>
        <v>-0.22184874961635639</v>
      </c>
      <c r="O16">
        <f>LOG10(F16)</f>
        <v>1.0791812460476249</v>
      </c>
      <c r="P16">
        <f>LOG10(H16)</f>
        <v>1.146128035678238</v>
      </c>
      <c r="Q16">
        <f t="shared" ref="Q16:Q22" si="8">LOG10(B16)</f>
        <v>1.9138138523837167</v>
      </c>
      <c r="R16">
        <f t="shared" ref="R16:R22" si="9">LOG10(D16)</f>
        <v>2.1461280356782382</v>
      </c>
    </row>
    <row r="17" spans="1:19" x14ac:dyDescent="0.4">
      <c r="A17">
        <v>0.5</v>
      </c>
      <c r="B17">
        <v>74</v>
      </c>
      <c r="C17">
        <v>5</v>
      </c>
      <c r="D17">
        <v>115</v>
      </c>
      <c r="E17">
        <v>6</v>
      </c>
      <c r="F17">
        <v>11.7</v>
      </c>
      <c r="G17">
        <v>0.5</v>
      </c>
      <c r="H17">
        <v>11.4</v>
      </c>
      <c r="I17">
        <v>0.3</v>
      </c>
      <c r="K17">
        <f>1/3*139961233.9*8.991*0.001*11*0.0001/0.1639*F17*0.001</f>
        <v>32.937762889799394</v>
      </c>
      <c r="L17">
        <f>1/2*139961233.9*8.991*0.001*11*0.0001/0.1639*H17*0.001</f>
        <v>48.139807300476051</v>
      </c>
      <c r="N17">
        <f t="shared" si="7"/>
        <v>-0.3010299956639812</v>
      </c>
      <c r="O17">
        <f>LOG10(F17)</f>
        <v>1.0681858617461617</v>
      </c>
      <c r="P17">
        <f>LOG10(H17)</f>
        <v>1.0569048513364727</v>
      </c>
      <c r="Q17">
        <f t="shared" si="8"/>
        <v>1.8692317197309762</v>
      </c>
      <c r="R17">
        <f t="shared" si="9"/>
        <v>2.0606978403536118</v>
      </c>
    </row>
    <row r="18" spans="1:19" x14ac:dyDescent="0.4">
      <c r="A18">
        <v>0.4</v>
      </c>
      <c r="B18">
        <v>52</v>
      </c>
      <c r="C18">
        <v>5</v>
      </c>
      <c r="D18">
        <v>80</v>
      </c>
      <c r="E18">
        <v>5</v>
      </c>
      <c r="F18">
        <v>11.5</v>
      </c>
      <c r="G18">
        <v>1</v>
      </c>
      <c r="H18">
        <v>11.5</v>
      </c>
      <c r="I18">
        <v>1</v>
      </c>
      <c r="K18">
        <f>1/3*139961233.9*8.991*0.001*11*0.0001/0.1639*F18*0.001</f>
        <v>32.374724207922483</v>
      </c>
      <c r="L18">
        <f>1/2*139961233.9*8.991*0.001*11*0.0001/0.1639*H18*0.001</f>
        <v>48.562086311883732</v>
      </c>
      <c r="N18">
        <f t="shared" si="7"/>
        <v>-0.3979400086720376</v>
      </c>
      <c r="O18">
        <f>LOG10(F18)</f>
        <v>1.0606978403536116</v>
      </c>
      <c r="P18">
        <f>LOG10(H18)</f>
        <v>1.0606978403536116</v>
      </c>
      <c r="Q18">
        <f t="shared" si="8"/>
        <v>1.7160033436347992</v>
      </c>
      <c r="R18">
        <f t="shared" si="9"/>
        <v>1.9030899869919435</v>
      </c>
    </row>
    <row r="19" spans="1:19" x14ac:dyDescent="0.4">
      <c r="A19">
        <v>0.35</v>
      </c>
      <c r="B19">
        <v>39</v>
      </c>
      <c r="C19">
        <v>5</v>
      </c>
      <c r="D19">
        <v>66</v>
      </c>
      <c r="E19">
        <v>5</v>
      </c>
      <c r="F19">
        <v>11.3</v>
      </c>
      <c r="G19">
        <v>1</v>
      </c>
      <c r="H19">
        <v>11.4</v>
      </c>
      <c r="I19">
        <v>0.7</v>
      </c>
      <c r="N19">
        <f t="shared" si="7"/>
        <v>-0.45593195564972439</v>
      </c>
      <c r="O19">
        <f>LOG10(F19)</f>
        <v>1.0530784434834197</v>
      </c>
      <c r="P19">
        <f>LOG10(H19)</f>
        <v>1.0569048513364727</v>
      </c>
      <c r="Q19">
        <f t="shared" si="8"/>
        <v>1.5910646070264991</v>
      </c>
      <c r="R19">
        <f t="shared" si="9"/>
        <v>1.8195439355418688</v>
      </c>
    </row>
    <row r="20" spans="1:19" x14ac:dyDescent="0.4">
      <c r="A20">
        <v>0.3</v>
      </c>
      <c r="B20">
        <v>31</v>
      </c>
      <c r="C20">
        <v>5</v>
      </c>
      <c r="D20">
        <v>44</v>
      </c>
      <c r="E20">
        <v>5</v>
      </c>
      <c r="F20">
        <v>11</v>
      </c>
      <c r="G20">
        <v>0.6</v>
      </c>
      <c r="H20">
        <v>11.2</v>
      </c>
      <c r="I20">
        <v>0.4</v>
      </c>
      <c r="K20">
        <f>1/3*139961233.9*8.991*0.001*11*0.0001/0.1639*F20*0.001</f>
        <v>30.967127503230206</v>
      </c>
      <c r="L20">
        <f>1/2*139961233.9*8.991*0.001*11*0.0001/0.1639*H20*0.001</f>
        <v>47.295249277660673</v>
      </c>
      <c r="N20">
        <f t="shared" si="7"/>
        <v>-0.52287874528033762</v>
      </c>
      <c r="O20">
        <f>LOG10(F20)</f>
        <v>1.0413926851582251</v>
      </c>
      <c r="P20">
        <f>LOG10(H20)</f>
        <v>1.0492180226701815</v>
      </c>
      <c r="Q20">
        <f t="shared" si="8"/>
        <v>1.4913616938342726</v>
      </c>
      <c r="R20">
        <f t="shared" si="9"/>
        <v>1.6434526764861874</v>
      </c>
    </row>
    <row r="21" spans="1:19" x14ac:dyDescent="0.4">
      <c r="A21">
        <v>0.25</v>
      </c>
      <c r="B21">
        <v>21.5</v>
      </c>
      <c r="C21">
        <v>4</v>
      </c>
      <c r="D21">
        <v>30</v>
      </c>
      <c r="E21">
        <v>4</v>
      </c>
      <c r="N21">
        <f t="shared" si="7"/>
        <v>-0.6020599913279624</v>
      </c>
      <c r="Q21">
        <f t="shared" si="8"/>
        <v>1.3324384599156054</v>
      </c>
      <c r="R21">
        <f t="shared" si="9"/>
        <v>1.4771212547196624</v>
      </c>
    </row>
    <row r="22" spans="1:19" x14ac:dyDescent="0.4">
      <c r="A22">
        <v>0.2</v>
      </c>
      <c r="B22">
        <v>14</v>
      </c>
      <c r="C22">
        <v>3</v>
      </c>
      <c r="D22">
        <v>21.5</v>
      </c>
      <c r="E22">
        <v>4</v>
      </c>
      <c r="N22">
        <f t="shared" si="7"/>
        <v>-0.69897000433601875</v>
      </c>
      <c r="Q22">
        <f t="shared" si="8"/>
        <v>1.146128035678238</v>
      </c>
      <c r="R22">
        <f t="shared" si="9"/>
        <v>1.3324384599156054</v>
      </c>
    </row>
    <row r="25" spans="1:19" x14ac:dyDescent="0.4">
      <c r="A25" t="s">
        <v>15</v>
      </c>
    </row>
    <row r="26" spans="1:19" x14ac:dyDescent="0.4">
      <c r="A26" t="s">
        <v>8</v>
      </c>
    </row>
    <row r="27" spans="1:19" x14ac:dyDescent="0.4">
      <c r="A27">
        <v>5.4720000000000004</v>
      </c>
    </row>
    <row r="28" spans="1:19" x14ac:dyDescent="0.4">
      <c r="A28" t="s">
        <v>9</v>
      </c>
      <c r="S28" t="s">
        <v>18</v>
      </c>
    </row>
    <row r="29" spans="1:19" x14ac:dyDescent="0.4">
      <c r="A29">
        <v>0.72</v>
      </c>
      <c r="S29">
        <f>SLOPE(Q17:Q22,N17:N22)</f>
        <v>1.8233850795035582</v>
      </c>
    </row>
    <row r="30" spans="1:19" x14ac:dyDescent="0.4">
      <c r="S30" t="s">
        <v>19</v>
      </c>
    </row>
    <row r="31" spans="1:19" x14ac:dyDescent="0.4">
      <c r="S31">
        <f>SLOPE(R17:R22,N17:N22)</f>
        <v>1.9024149255078773</v>
      </c>
    </row>
    <row r="46" spans="4:7" x14ac:dyDescent="0.4">
      <c r="D46" t="s">
        <v>16</v>
      </c>
      <c r="E46">
        <f>SLOPE(O2:O5,N2:N5)</f>
        <v>0.86781262503912493</v>
      </c>
      <c r="F46" t="s">
        <v>17</v>
      </c>
      <c r="G46">
        <f>INTERCEPT(P15:P18,N15:N18)</f>
        <v>1.1643117003233954</v>
      </c>
    </row>
  </sheetData>
  <sortState xmlns:xlrd2="http://schemas.microsoft.com/office/spreadsheetml/2017/richdata2" ref="A16:S24">
    <sortCondition descending="1" ref="A16:A24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2025-11-06T11:04:23Z</dcterms:modified>
</cp:coreProperties>
</file>